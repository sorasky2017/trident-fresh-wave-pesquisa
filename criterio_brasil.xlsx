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Respostas" sheetId="2" state="visible" r:id="rId4"/>
    <sheet name="Pontos" sheetId="3" state="visible" r:id="rId5"/>
    <sheet name="Lista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<sst xmlns="http://schemas.openxmlformats.org/spreadsheetml/2006/main" count="761" uniqueCount="67">
  <si>
    <t xml:space="preserve">Critério Brasil · compradores do Trident Fresh Wave</t>
  </si>
  <si>
    <t xml:space="preserve">40 pessoas que comprariam com certeza ou provavelmente · dados de exemplo</t>
  </si>
  <si>
    <t xml:space="preserve">Classe</t>
  </si>
  <si>
    <t xml:space="preserve">Pessoas</t>
  </si>
  <si>
    <t xml:space="preserve">%</t>
  </si>
  <si>
    <t xml:space="preserve">Faixa de pontos</t>
  </si>
  <si>
    <t xml:space="preserve">A</t>
  </si>
  <si>
    <t xml:space="preserve">45 a 100</t>
  </si>
  <si>
    <t xml:space="preserve">B1</t>
  </si>
  <si>
    <t xml:space="preserve">38 a 44</t>
  </si>
  <si>
    <t xml:space="preserve">B2</t>
  </si>
  <si>
    <t xml:space="preserve">29 a 37</t>
  </si>
  <si>
    <t xml:space="preserve">C1</t>
  </si>
  <si>
    <t xml:space="preserve">23 a 28</t>
  </si>
  <si>
    <t xml:space="preserve">C2</t>
  </si>
  <si>
    <t xml:space="preserve">17 a 22</t>
  </si>
  <si>
    <t xml:space="preserve">D-E</t>
  </si>
  <si>
    <t xml:space="preserve">0 a 16</t>
  </si>
  <si>
    <t xml:space="preserve">Total</t>
  </si>
  <si>
    <t xml:space="preserve">Intenção de compra</t>
  </si>
  <si>
    <t xml:space="preserve">Com certeza</t>
  </si>
  <si>
    <t xml:space="preserve">Provavelmente</t>
  </si>
  <si>
    <t xml:space="preserve">Respondente</t>
  </si>
  <si>
    <t xml:space="preserve">Compraria a bebida?</t>
  </si>
  <si>
    <t xml:space="preserve">Renda familiar</t>
  </si>
  <si>
    <t xml:space="preserve">Banheiros</t>
  </si>
  <si>
    <t xml:space="preserve">Trabalhadores domésticos mensalistas</t>
  </si>
  <si>
    <t xml:space="preserve">Automóveis</t>
  </si>
  <si>
    <t xml:space="preserve">Microcomputador</t>
  </si>
  <si>
    <t xml:space="preserve">Lava-louça</t>
  </si>
  <si>
    <t xml:space="preserve">Geladeira</t>
  </si>
  <si>
    <t xml:space="preserve">Freezer</t>
  </si>
  <si>
    <t xml:space="preserve">Lava-roupa</t>
  </si>
  <si>
    <t xml:space="preserve">DVD</t>
  </si>
  <si>
    <t xml:space="preserve">Micro-ondas</t>
  </si>
  <si>
    <t xml:space="preserve">Motocicleta</t>
  </si>
  <si>
    <t xml:space="preserve">Secadora de roupa</t>
  </si>
  <si>
    <t xml:space="preserve">Instrução de quem sustenta a casa</t>
  </si>
  <si>
    <t xml:space="preserve">Água encanada</t>
  </si>
  <si>
    <t xml:space="preserve">Rua pavimentada</t>
  </si>
  <si>
    <t xml:space="preserve">Pontos</t>
  </si>
  <si>
    <t xml:space="preserve">R$ 2.001 a R$ 4.000</t>
  </si>
  <si>
    <t xml:space="preserve">1</t>
  </si>
  <si>
    <t xml:space="preserve">Não tem</t>
  </si>
  <si>
    <t xml:space="preserve">2</t>
  </si>
  <si>
    <t xml:space="preserve">Fundamental II completo ou médio incompleto</t>
  </si>
  <si>
    <t xml:space="preserve">Sim</t>
  </si>
  <si>
    <t xml:space="preserve">Prefiro não informar</t>
  </si>
  <si>
    <t xml:space="preserve">Médio completo ou superior incompleto</t>
  </si>
  <si>
    <t xml:space="preserve">R$ 4.001 a R$ 7.000</t>
  </si>
  <si>
    <t xml:space="preserve">Fundamental I completo ou fundamental II incompleto</t>
  </si>
  <si>
    <t xml:space="preserve">Acima de R$ 10.000</t>
  </si>
  <si>
    <t xml:space="preserve">3</t>
  </si>
  <si>
    <t xml:space="preserve">Superior completo</t>
  </si>
  <si>
    <t xml:space="preserve">R$ 7.001 a R$ 10.000</t>
  </si>
  <si>
    <t xml:space="preserve">Até R$ 2.000</t>
  </si>
  <si>
    <t xml:space="preserve">Não</t>
  </si>
  <si>
    <t xml:space="preserve">Item</t>
  </si>
  <si>
    <t xml:space="preserve">4 ou mais</t>
  </si>
  <si>
    <t xml:space="preserve">Instrução (valor da resposta)</t>
  </si>
  <si>
    <t xml:space="preserve">Água encanada: sim vale 4, não vale 0</t>
  </si>
  <si>
    <t xml:space="preserve">Rua pavimentada: sim vale 2, não vale 0</t>
  </si>
  <si>
    <t xml:space="preserve">Pontos de</t>
  </si>
  <si>
    <t xml:space="preserve">Pontos até</t>
  </si>
  <si>
    <t xml:space="preserve">Fonte: ABEP, Critério de Classificação Econômica Brasil 2022. Dados de exemplo.</t>
  </si>
  <si>
    <t xml:space="preserve">Instrução</t>
  </si>
  <si>
    <t xml:space="preserve">Analfabeto ou fundamental I incompleto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</si>
</sst>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60A0"/>
      <name val="Cambria"/>
      <family val="0"/>
      <charset val="1"/>
    </font>
    <font>
      <i val="true"/>
      <sz val="11"/>
      <color rgb="FF3D5F7B"/>
      <name val="Cambria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94360"/>
      <name val="Calibri"/>
      <family val="0"/>
      <charset val="1"/>
    </font>
    <font>
      <b val="true"/>
      <sz val="11"/>
      <color rgb="FF194360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10"/>
      <color rgb="FF3D5F7B"/>
      <name val="Cambria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60A0"/>
        <bgColor rgb="FF3D5F7B"/>
      </patternFill>
    </fill>
    <fill>
      <patternFill patternType="solid">
        <fgColor rgb="FF1B9C8F"/>
        <bgColor rgb="FF3D8FB8"/>
      </patternFill>
    </fill>
    <fill>
      <patternFill patternType="solid">
        <fgColor rgb="FFFFFFFF"/>
        <bgColor rgb="FFF9F9F9"/>
      </patternFill>
    </fill>
    <fill>
      <patternFill patternType="solid">
        <fgColor rgb="FF3D8FB8"/>
        <bgColor rgb="FF1B9C8F"/>
      </patternFill>
    </fill>
    <fill>
      <patternFill patternType="solid">
        <fgColor rgb="FFEAF5FB"/>
        <bgColor rgb="FFF9F9F9"/>
      </patternFill>
    </fill>
    <fill>
      <patternFill patternType="solid">
        <fgColor rgb="FF7FB7D6"/>
        <bgColor rgb="FF9DBBD0"/>
      </patternFill>
    </fill>
    <fill>
      <patternFill patternType="solid">
        <fgColor rgb="FFF2C879"/>
        <bgColor rgb="FFF2A65A"/>
      </patternFill>
    </fill>
    <fill>
      <patternFill patternType="solid">
        <fgColor rgb="FFF2A65A"/>
        <bgColor rgb="FFF2C879"/>
      </patternFill>
    </fill>
    <fill>
      <patternFill patternType="solid">
        <fgColor rgb="FFE06C6C"/>
        <bgColor rgb="FFFF6600"/>
      </patternFill>
    </fill>
    <fill>
      <patternFill patternType="solid">
        <fgColor rgb="FFD3E6F2"/>
        <bgColor rgb="FFC9D8E4"/>
      </patternFill>
    </fill>
    <fill>
      <patternFill patternType="solid">
        <fgColor rgb="FFFFF4E0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8E4"/>
      </left>
      <right style="thin">
        <color rgb="FFC9D8E4"/>
      </right>
      <top style="thin">
        <color rgb="FFC9D8E4"/>
      </top>
      <bottom style="thin">
        <color rgb="FFC9D8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b val="1"/>
        <color rgb="FFFFFFFF"/>
      </font>
      <fill>
        <patternFill>
          <bgColor rgb="FF1B9C8F"/>
        </patternFill>
      </fill>
    </dxf>
    <dxf>
      <font>
        <b val="1"/>
        <color rgb="FFFFFFFF"/>
      </font>
      <fill>
        <patternFill>
          <bgColor rgb="FF3D8FB8"/>
        </patternFill>
      </fill>
    </dxf>
    <dxf>
      <font>
        <b val="1"/>
        <color rgb="FF194360"/>
      </font>
      <fill>
        <patternFill>
          <bgColor rgb="FF7FB7D6"/>
        </patternFill>
      </fill>
    </dxf>
    <dxf>
      <font>
        <b val="1"/>
        <color rgb="FF194360"/>
      </font>
      <fill>
        <patternFill>
          <bgColor rgb="FFF2C879"/>
        </patternFill>
      </fill>
    </dxf>
    <dxf>
      <font>
        <b val="1"/>
        <color rgb="FF194360"/>
      </font>
      <fill>
        <patternFill>
          <bgColor rgb="FFF2A65A"/>
        </patternFill>
      </fill>
    </dxf>
    <dxf>
      <font>
        <b val="1"/>
        <color rgb="FFFFFFFF"/>
      </font>
      <fill>
        <patternFill>
          <bgColor rgb="FFE06C6C"/>
        </patternFill>
      </fill>
    </dxf>
    <dxf>
      <font>
        <b val="1"/>
        <color rgb="FF1B9C8F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DBBD0"/>
      <rgbColor rgb="FF878787"/>
      <rgbColor rgb="FF9999FF"/>
      <rgbColor rgb="FF993366"/>
      <rgbColor rgb="FFFFF4E0"/>
      <rgbColor rgb="FFEAF5FB"/>
      <rgbColor rgb="FF660066"/>
      <rgbColor rgb="FFE06C6C"/>
      <rgbColor rgb="FF1F60A0"/>
      <rgbColor rgb="FFC9D8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E6F2"/>
      <rgbColor rgb="FFF9F9F9"/>
      <rgbColor rgb="FFD9D9D9"/>
      <rgbColor rgb="FF7FB7D6"/>
      <rgbColor rgb="FFFF99CC"/>
      <rgbColor rgb="FFCC99FF"/>
      <rgbColor rgb="FFF2C879"/>
      <rgbColor rgb="FF3D8FB8"/>
      <rgbColor rgb="FF33CCCC"/>
      <rgbColor rgb="FF99CC00"/>
      <rgbColor rgb="FFFFCC00"/>
      <rgbColor rgb="FFF2A65A"/>
      <rgbColor rgb="FFFF6600"/>
      <rgbColor rgb="FF3D5F7B"/>
      <rgbColor rgb="FF969696"/>
      <rgbColor rgb="FF194360"/>
      <rgbColor rgb="FF1B9C8F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Classe econômica dos compradores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Resumo!C4</c:f>
              <c:strCache>
                <c:ptCount val="1"/>
                <c:pt idx="0">
                  <c:v>%</c:v>
                </c:pt>
              </c:strCache>
            </c:strRef>
          </c:tx>
          <c:spPr>
            <a:solidFill>
              <a:srgbClr val="1f60a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numFmt formatCode="0.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Resumo!$A$5:$A$10</c:f>
              <c:strCache>
                <c:ptCount val="6"/>
                <c:pt idx="0">
                  <c:v>A</c:v>
                </c:pt>
                <c:pt idx="1">
                  <c:v>B1</c:v>
                </c:pt>
                <c:pt idx="2">
                  <c:v>B2</c:v>
                </c:pt>
                <c:pt idx="3">
                  <c:v>C1</c:v>
                </c:pt>
                <c:pt idx="4">
                  <c:v>C2</c:v>
                </c:pt>
                <c:pt idx="5">
                  <c:v>D-E</c:v>
                </c:pt>
              </c:strCache>
            </c:strRef>
          </c:cat>
          <c:val>
            <c:numRef>
              <c:f>Resumo!$C$5:$C$10</c:f>
              <c:numCache>
                <c:formatCode>0.0%</c:formatCode>
                <c:ptCount val="6"/>
                <c:pt idx="0">
                  <c:v>0.125</c:v>
                </c:pt>
                <c:pt idx="1">
                  <c:v>0.2</c:v>
                </c:pt>
                <c:pt idx="2">
                  <c:v>0.45</c:v>
                </c:pt>
                <c:pt idx="3">
                  <c:v>0.15</c:v>
                </c:pt>
                <c:pt idx="4">
                  <c:v>0.05</c:v>
                </c:pt>
                <c:pt idx="5">
                  <c:v>0.025</c:v>
                </c:pt>
              </c:numCache>
            </c:numRef>
          </c:val>
        </c:ser>
        <c:gapWidth val="150"/>
        <c:overlap val="0"/>
        <c:axId val="18419718"/>
        <c:axId val="87892629"/>
      </c:barChart>
      <c:catAx>
        <c:axId val="184197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892629"/>
        <c:crosses val="autoZero"/>
        <c:auto val="1"/>
        <c:lblAlgn val="ctr"/>
        <c:lblOffset val="100"/>
        <c:noMultiLvlLbl val="0"/>
      </c:catAx>
      <c:valAx>
        <c:axId val="87892629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4197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17</xdr:row>
      <xdr:rowOff>0</xdr:rowOff>
    </xdr:from>
    <xdr:to>
      <xdr:col>4</xdr:col>
      <xdr:colOff>387720</xdr:colOff>
      <xdr:row>31</xdr:row>
      <xdr:rowOff>32760</xdr:rowOff>
    </xdr:to>
    <xdr:graphicFrame>
      <xdr:nvGraphicFramePr>
        <xdr:cNvPr id="0" name="Chart 1"/>
        <xdr:cNvGraphicFramePr/>
      </xdr:nvGraphicFramePr>
      <xdr:xfrm>
        <a:off x="0" y="3695760"/>
        <a:ext cx="503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0A0"/>
    <pageSetUpPr fitToPage="false"/>
  </sheetPr>
  <dimension ref="A1:E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1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</row>
    <row r="4" customFormat="false" ht="25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COUNTIF(Respostas!$T$2:$T$41,A5)</f>
        <v>5</v>
      </c>
      <c r="C5" s="6" t="n">
        <f aca="false">B5/$B$11</f>
        <v>0.125</v>
      </c>
      <c r="D5" s="5" t="s">
        <v>7</v>
      </c>
    </row>
    <row r="6" customFormat="false" ht="15" hidden="false" customHeight="false" outlineLevel="0" collapsed="false">
      <c r="A6" s="7" t="s">
        <v>8</v>
      </c>
      <c r="B6" s="8" t="n">
        <f aca="false">COUNTIF(Respostas!$T$2:$T$41,A6)</f>
        <v>8</v>
      </c>
      <c r="C6" s="9" t="n">
        <f aca="false">B6/$B$11</f>
        <v>0.2</v>
      </c>
      <c r="D6" s="8" t="s">
        <v>9</v>
      </c>
    </row>
    <row r="7" customFormat="false" ht="15" hidden="false" customHeight="false" outlineLevel="0" collapsed="false">
      <c r="A7" s="10" t="s">
        <v>10</v>
      </c>
      <c r="B7" s="5" t="n">
        <f aca="false">COUNTIF(Respostas!$T$2:$T$41,A7)</f>
        <v>18</v>
      </c>
      <c r="C7" s="6" t="n">
        <f aca="false">B7/$B$11</f>
        <v>0.45</v>
      </c>
      <c r="D7" s="5" t="s">
        <v>11</v>
      </c>
    </row>
    <row r="8" customFormat="false" ht="15" hidden="false" customHeight="false" outlineLevel="0" collapsed="false">
      <c r="A8" s="11" t="s">
        <v>12</v>
      </c>
      <c r="B8" s="8" t="n">
        <f aca="false">COUNTIF(Respostas!$T$2:$T$41,A8)</f>
        <v>6</v>
      </c>
      <c r="C8" s="9" t="n">
        <f aca="false">B8/$B$11</f>
        <v>0.15</v>
      </c>
      <c r="D8" s="8" t="s">
        <v>13</v>
      </c>
    </row>
    <row r="9" customFormat="false" ht="15" hidden="false" customHeight="false" outlineLevel="0" collapsed="false">
      <c r="A9" s="12" t="s">
        <v>14</v>
      </c>
      <c r="B9" s="5" t="n">
        <f aca="false">COUNTIF(Respostas!$T$2:$T$41,A9)</f>
        <v>2</v>
      </c>
      <c r="C9" s="6" t="n">
        <f aca="false">B9/$B$11</f>
        <v>0.05</v>
      </c>
      <c r="D9" s="5" t="s">
        <v>15</v>
      </c>
    </row>
    <row r="10" customFormat="false" ht="15" hidden="false" customHeight="false" outlineLevel="0" collapsed="false">
      <c r="A10" s="13" t="s">
        <v>16</v>
      </c>
      <c r="B10" s="8" t="n">
        <f aca="false">COUNTIF(Respostas!$T$2:$T$41,A10)</f>
        <v>1</v>
      </c>
      <c r="C10" s="9" t="n">
        <f aca="false">B10/$B$11</f>
        <v>0.025</v>
      </c>
      <c r="D10" s="8" t="s">
        <v>17</v>
      </c>
    </row>
    <row r="11" customFormat="false" ht="15" hidden="false" customHeight="false" outlineLevel="0" collapsed="false">
      <c r="A11" s="14" t="s">
        <v>18</v>
      </c>
      <c r="B11" s="14" t="n">
        <f aca="false">SUM(B5:B10)</f>
        <v>40</v>
      </c>
      <c r="C11" s="15" t="n">
        <f aca="false">SUM(C5:C10)</f>
        <v>1</v>
      </c>
      <c r="D11" s="14"/>
    </row>
    <row r="13" customFormat="false" ht="25.5" hidden="false" customHeight="true" outlineLevel="0" collapsed="false">
      <c r="A13" s="3" t="s">
        <v>19</v>
      </c>
      <c r="B13" s="3" t="s">
        <v>3</v>
      </c>
      <c r="C13" s="3" t="s">
        <v>4</v>
      </c>
      <c r="D13" s="3"/>
    </row>
    <row r="14" customFormat="false" ht="15" hidden="false" customHeight="false" outlineLevel="0" collapsed="false">
      <c r="A14" s="5" t="s">
        <v>20</v>
      </c>
      <c r="B14" s="5" t="n">
        <f aca="false">COUNTIF(Respostas!$B$2:$B$41,A14)</f>
        <v>19</v>
      </c>
      <c r="C14" s="6" t="n">
        <f aca="false">B14/SUM($B$14:$B$15)</f>
        <v>0.475</v>
      </c>
      <c r="D14" s="5"/>
    </row>
    <row r="15" customFormat="false" ht="15" hidden="false" customHeight="false" outlineLevel="0" collapsed="false">
      <c r="A15" s="8" t="s">
        <v>21</v>
      </c>
      <c r="B15" s="8" t="n">
        <f aca="false">COUNTIF(Respostas!$B$2:$B$41,A15)</f>
        <v>21</v>
      </c>
      <c r="C15" s="9" t="n">
        <f aca="false">B15/SUM($B$14:$B$15)</f>
        <v>0.525</v>
      </c>
      <c r="D15" s="8"/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0A0"/>
    <pageSetUpPr fitToPage="false"/>
  </sheetPr>
  <dimension ref="A1:T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9"/>
    <col collapsed="false" customWidth="true" hidden="false" outlineLevel="0" max="3" min="3" style="0" width="22"/>
    <col collapsed="false" customWidth="true" hidden="false" outlineLevel="0" max="15" min="4" style="0" width="15"/>
    <col collapsed="false" customWidth="true" hidden="false" outlineLevel="0" max="16" min="16" style="0" width="50"/>
    <col collapsed="false" customWidth="true" hidden="false" outlineLevel="0" max="20" min="17" style="0" width="15"/>
  </cols>
  <sheetData>
    <row r="1" customFormat="false" ht="54" hidden="false" customHeight="true" outlineLevel="0" collapsed="false">
      <c r="A1" s="3" t="s">
        <v>22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  <c r="J1" s="3" t="s">
        <v>31</v>
      </c>
      <c r="K1" s="3" t="s">
        <v>32</v>
      </c>
      <c r="L1" s="3" t="s">
        <v>33</v>
      </c>
      <c r="M1" s="3" t="s">
        <v>34</v>
      </c>
      <c r="N1" s="3" t="s">
        <v>35</v>
      </c>
      <c r="O1" s="3" t="s">
        <v>36</v>
      </c>
      <c r="P1" s="3" t="s">
        <v>37</v>
      </c>
      <c r="Q1" s="3" t="s">
        <v>38</v>
      </c>
      <c r="R1" s="3" t="s">
        <v>39</v>
      </c>
      <c r="S1" s="3" t="s">
        <v>40</v>
      </c>
      <c r="T1" s="3" t="s">
        <v>2</v>
      </c>
    </row>
    <row r="2" customFormat="false" ht="21" hidden="false" customHeight="true" outlineLevel="0" collapsed="false">
      <c r="A2" s="5" t="n">
        <v>1</v>
      </c>
      <c r="B2" s="16" t="s">
        <v>20</v>
      </c>
      <c r="C2" s="5" t="s">
        <v>41</v>
      </c>
      <c r="D2" s="5" t="s">
        <v>42</v>
      </c>
      <c r="E2" s="5" t="s">
        <v>43</v>
      </c>
      <c r="F2" s="5" t="s">
        <v>42</v>
      </c>
      <c r="G2" s="5" t="s">
        <v>44</v>
      </c>
      <c r="H2" s="5" t="s">
        <v>42</v>
      </c>
      <c r="I2" s="5" t="s">
        <v>42</v>
      </c>
      <c r="J2" s="5" t="s">
        <v>43</v>
      </c>
      <c r="K2" s="5" t="s">
        <v>42</v>
      </c>
      <c r="L2" s="5" t="s">
        <v>42</v>
      </c>
      <c r="M2" s="5" t="s">
        <v>42</v>
      </c>
      <c r="N2" s="5" t="s">
        <v>43</v>
      </c>
      <c r="O2" s="5" t="s">
        <v>43</v>
      </c>
      <c r="P2" s="17" t="s">
        <v>45</v>
      </c>
      <c r="Q2" s="5" t="s">
        <v>46</v>
      </c>
      <c r="R2" s="5" t="s">
        <v>46</v>
      </c>
      <c r="S2" s="18" t="n">
        <f aca="false">INDEX(Pontos!$B$2:$F$2,MATCH(D2,Pontos!$B$1:$F$1,0))+INDEX(Pontos!$B$3:$F$3,MATCH(E2,Pontos!$B$1:$F$1,0))+INDEX(Pontos!$B$4:$F$4,MATCH(F2,Pontos!$B$1:$F$1,0))+INDEX(Pontos!$B$5:$F$5,MATCH(G2,Pontos!$B$1:$F$1,0))+INDEX(Pontos!$B$6:$F$6,MATCH(H2,Pontos!$B$1:$F$1,0))+INDEX(Pontos!$B$7:$F$7,MATCH(I2,Pontos!$B$1:$F$1,0))+INDEX(Pontos!$B$8:$F$8,MATCH(J2,Pontos!$B$1:$F$1,0))+INDEX(Pontos!$B$9:$F$9,MATCH(K2,Pontos!$B$1:$F$1,0))+INDEX(Pontos!$B$10:$F$10,MATCH(L2,Pontos!$B$1:$F$1,0))+INDEX(Pontos!$B$11:$F$11,MATCH(M2,Pontos!$B$1:$F$1,0))+INDEX(Pontos!$B$12:$F$12,MATCH(N2,Pontos!$B$1:$F$1,0))+INDEX(Pontos!$B$13:$F$13,MATCH(O2,Pontos!$B$1:$F$1,0))+INDEX(Pontos!$B$14:$F$14,MATCH(P2,Listas!$A$2:$A$6,0))+IF(Q2="Sim",4,0)+IF(R2="Sim",2,0)</f>
        <v>30</v>
      </c>
      <c r="T2" s="19" t="str">
        <f aca="false">IF(S2&gt;=45,"A",IF(S2&gt;=38,"B1",IF(S2&gt;=29,"B2",IF(S2&gt;=23,"C1",IF(S2&gt;=17,"C2","D-E")))))</f>
        <v>B2</v>
      </c>
    </row>
    <row r="3" customFormat="false" ht="21" hidden="false" customHeight="true" outlineLevel="0" collapsed="false">
      <c r="A3" s="8" t="n">
        <v>2</v>
      </c>
      <c r="B3" s="20" t="s">
        <v>21</v>
      </c>
      <c r="C3" s="8" t="s">
        <v>47</v>
      </c>
      <c r="D3" s="8" t="s">
        <v>42</v>
      </c>
      <c r="E3" s="8" t="s">
        <v>43</v>
      </c>
      <c r="F3" s="8" t="s">
        <v>42</v>
      </c>
      <c r="G3" s="8" t="s">
        <v>44</v>
      </c>
      <c r="H3" s="8" t="s">
        <v>43</v>
      </c>
      <c r="I3" s="8" t="s">
        <v>42</v>
      </c>
      <c r="J3" s="8" t="s">
        <v>42</v>
      </c>
      <c r="K3" s="8" t="s">
        <v>42</v>
      </c>
      <c r="L3" s="8" t="s">
        <v>43</v>
      </c>
      <c r="M3" s="8" t="s">
        <v>42</v>
      </c>
      <c r="N3" s="8" t="s">
        <v>43</v>
      </c>
      <c r="O3" s="8" t="s">
        <v>43</v>
      </c>
      <c r="P3" s="21" t="s">
        <v>48</v>
      </c>
      <c r="Q3" s="8" t="s">
        <v>46</v>
      </c>
      <c r="R3" s="8" t="s">
        <v>46</v>
      </c>
      <c r="S3" s="22" t="n">
        <f aca="false">INDEX(Pontos!$B$2:$F$2,MATCH(D3,Pontos!$B$1:$F$1,0))+INDEX(Pontos!$B$3:$F$3,MATCH(E3,Pontos!$B$1:$F$1,0))+INDEX(Pontos!$B$4:$F$4,MATCH(F3,Pontos!$B$1:$F$1,0))+INDEX(Pontos!$B$5:$F$5,MATCH(G3,Pontos!$B$1:$F$1,0))+INDEX(Pontos!$B$6:$F$6,MATCH(H3,Pontos!$B$1:$F$1,0))+INDEX(Pontos!$B$7:$F$7,MATCH(I3,Pontos!$B$1:$F$1,0))+INDEX(Pontos!$B$8:$F$8,MATCH(J3,Pontos!$B$1:$F$1,0))+INDEX(Pontos!$B$9:$F$9,MATCH(K3,Pontos!$B$1:$F$1,0))+INDEX(Pontos!$B$10:$F$10,MATCH(L3,Pontos!$B$1:$F$1,0))+INDEX(Pontos!$B$11:$F$11,MATCH(M3,Pontos!$B$1:$F$1,0))+INDEX(Pontos!$B$12:$F$12,MATCH(N3,Pontos!$B$1:$F$1,0))+INDEX(Pontos!$B$13:$F$13,MATCH(O3,Pontos!$B$1:$F$1,0))+INDEX(Pontos!$B$14:$F$14,MATCH(P3,Listas!$A$2:$A$6,0))+IF(Q3="Sim",4,0)+IF(R3="Sim",2,0)</f>
        <v>30</v>
      </c>
      <c r="T3" s="23" t="str">
        <f aca="false">IF(S3&gt;=45,"A",IF(S3&gt;=38,"B1",IF(S3&gt;=29,"B2",IF(S3&gt;=23,"C1",IF(S3&gt;=17,"C2","D-E")))))</f>
        <v>B2</v>
      </c>
    </row>
    <row r="4" customFormat="false" ht="21" hidden="false" customHeight="true" outlineLevel="0" collapsed="false">
      <c r="A4" s="5" t="n">
        <v>3</v>
      </c>
      <c r="B4" s="16" t="s">
        <v>20</v>
      </c>
      <c r="C4" s="5" t="s">
        <v>49</v>
      </c>
      <c r="D4" s="5" t="s">
        <v>42</v>
      </c>
      <c r="E4" s="5" t="s">
        <v>43</v>
      </c>
      <c r="F4" s="5" t="s">
        <v>44</v>
      </c>
      <c r="G4" s="5" t="s">
        <v>42</v>
      </c>
      <c r="H4" s="5" t="s">
        <v>42</v>
      </c>
      <c r="I4" s="5" t="s">
        <v>42</v>
      </c>
      <c r="J4" s="5" t="s">
        <v>42</v>
      </c>
      <c r="K4" s="5" t="s">
        <v>44</v>
      </c>
      <c r="L4" s="5" t="s">
        <v>42</v>
      </c>
      <c r="M4" s="5" t="s">
        <v>42</v>
      </c>
      <c r="N4" s="5" t="s">
        <v>43</v>
      </c>
      <c r="O4" s="5" t="s">
        <v>43</v>
      </c>
      <c r="P4" s="17" t="s">
        <v>48</v>
      </c>
      <c r="Q4" s="5" t="s">
        <v>46</v>
      </c>
      <c r="R4" s="5" t="s">
        <v>46</v>
      </c>
      <c r="S4" s="18" t="n">
        <f aca="false">INDEX(Pontos!$B$2:$F$2,MATCH(D4,Pontos!$B$1:$F$1,0))+INDEX(Pontos!$B$3:$F$3,MATCH(E4,Pontos!$B$1:$F$1,0))+INDEX(Pontos!$B$4:$F$4,MATCH(F4,Pontos!$B$1:$F$1,0))+INDEX(Pontos!$B$5:$F$5,MATCH(G4,Pontos!$B$1:$F$1,0))+INDEX(Pontos!$B$6:$F$6,MATCH(H4,Pontos!$B$1:$F$1,0))+INDEX(Pontos!$B$7:$F$7,MATCH(I4,Pontos!$B$1:$F$1,0))+INDEX(Pontos!$B$8:$F$8,MATCH(J4,Pontos!$B$1:$F$1,0))+INDEX(Pontos!$B$9:$F$9,MATCH(K4,Pontos!$B$1:$F$1,0))+INDEX(Pontos!$B$10:$F$10,MATCH(L4,Pontos!$B$1:$F$1,0))+INDEX(Pontos!$B$11:$F$11,MATCH(M4,Pontos!$B$1:$F$1,0))+INDEX(Pontos!$B$12:$F$12,MATCH(N4,Pontos!$B$1:$F$1,0))+INDEX(Pontos!$B$13:$F$13,MATCH(O4,Pontos!$B$1:$F$1,0))+INDEX(Pontos!$B$14:$F$14,MATCH(P4,Listas!$A$2:$A$6,0))+IF(Q4="Sim",4,0)+IF(R4="Sim",2,0)</f>
        <v>35</v>
      </c>
      <c r="T4" s="19" t="str">
        <f aca="false">IF(S4&gt;=45,"A",IF(S4&gt;=38,"B1",IF(S4&gt;=29,"B2",IF(S4&gt;=23,"C1",IF(S4&gt;=17,"C2","D-E")))))</f>
        <v>B2</v>
      </c>
    </row>
    <row r="5" customFormat="false" ht="21" hidden="false" customHeight="true" outlineLevel="0" collapsed="false">
      <c r="A5" s="8" t="n">
        <v>4</v>
      </c>
      <c r="B5" s="20" t="s">
        <v>21</v>
      </c>
      <c r="C5" s="8" t="s">
        <v>41</v>
      </c>
      <c r="D5" s="8" t="s">
        <v>42</v>
      </c>
      <c r="E5" s="8" t="s">
        <v>43</v>
      </c>
      <c r="F5" s="8" t="s">
        <v>42</v>
      </c>
      <c r="G5" s="8" t="s">
        <v>44</v>
      </c>
      <c r="H5" s="8" t="s">
        <v>43</v>
      </c>
      <c r="I5" s="8" t="s">
        <v>42</v>
      </c>
      <c r="J5" s="8" t="s">
        <v>42</v>
      </c>
      <c r="K5" s="8" t="s">
        <v>44</v>
      </c>
      <c r="L5" s="8" t="s">
        <v>42</v>
      </c>
      <c r="M5" s="8" t="s">
        <v>42</v>
      </c>
      <c r="N5" s="8" t="s">
        <v>43</v>
      </c>
      <c r="O5" s="8" t="s">
        <v>42</v>
      </c>
      <c r="P5" s="21" t="s">
        <v>45</v>
      </c>
      <c r="Q5" s="8" t="s">
        <v>46</v>
      </c>
      <c r="R5" s="8" t="s">
        <v>46</v>
      </c>
      <c r="S5" s="22" t="n">
        <f aca="false">INDEX(Pontos!$B$2:$F$2,MATCH(D5,Pontos!$B$1:$F$1,0))+INDEX(Pontos!$B$3:$F$3,MATCH(E5,Pontos!$B$1:$F$1,0))+INDEX(Pontos!$B$4:$F$4,MATCH(F5,Pontos!$B$1:$F$1,0))+INDEX(Pontos!$B$5:$F$5,MATCH(G5,Pontos!$B$1:$F$1,0))+INDEX(Pontos!$B$6:$F$6,MATCH(H5,Pontos!$B$1:$F$1,0))+INDEX(Pontos!$B$7:$F$7,MATCH(I5,Pontos!$B$1:$F$1,0))+INDEX(Pontos!$B$8:$F$8,MATCH(J5,Pontos!$B$1:$F$1,0))+INDEX(Pontos!$B$9:$F$9,MATCH(K5,Pontos!$B$1:$F$1,0))+INDEX(Pontos!$B$10:$F$10,MATCH(L5,Pontos!$B$1:$F$1,0))+INDEX(Pontos!$B$11:$F$11,MATCH(M5,Pontos!$B$1:$F$1,0))+INDEX(Pontos!$B$12:$F$12,MATCH(N5,Pontos!$B$1:$F$1,0))+INDEX(Pontos!$B$13:$F$13,MATCH(O5,Pontos!$B$1:$F$1,0))+INDEX(Pontos!$B$14:$F$14,MATCH(P5,Listas!$A$2:$A$6,0))+IF(Q5="Sim",4,0)+IF(R5="Sim",2,0)</f>
        <v>33</v>
      </c>
      <c r="T5" s="23" t="str">
        <f aca="false">IF(S5&gt;=45,"A",IF(S5&gt;=38,"B1",IF(S5&gt;=29,"B2",IF(S5&gt;=23,"C1",IF(S5&gt;=17,"C2","D-E")))))</f>
        <v>B2</v>
      </c>
    </row>
    <row r="6" customFormat="false" ht="21" hidden="false" customHeight="true" outlineLevel="0" collapsed="false">
      <c r="A6" s="5" t="n">
        <v>5</v>
      </c>
      <c r="B6" s="16" t="s">
        <v>20</v>
      </c>
      <c r="C6" s="5" t="s">
        <v>49</v>
      </c>
      <c r="D6" s="5" t="s">
        <v>42</v>
      </c>
      <c r="E6" s="5" t="s">
        <v>43</v>
      </c>
      <c r="F6" s="5" t="s">
        <v>44</v>
      </c>
      <c r="G6" s="5" t="s">
        <v>42</v>
      </c>
      <c r="H6" s="5" t="s">
        <v>43</v>
      </c>
      <c r="I6" s="5" t="s">
        <v>42</v>
      </c>
      <c r="J6" s="5" t="s">
        <v>42</v>
      </c>
      <c r="K6" s="5" t="s">
        <v>44</v>
      </c>
      <c r="L6" s="5" t="s">
        <v>42</v>
      </c>
      <c r="M6" s="5" t="s">
        <v>42</v>
      </c>
      <c r="N6" s="5" t="s">
        <v>43</v>
      </c>
      <c r="O6" s="5" t="s">
        <v>42</v>
      </c>
      <c r="P6" s="17" t="s">
        <v>48</v>
      </c>
      <c r="Q6" s="5" t="s">
        <v>46</v>
      </c>
      <c r="R6" s="5" t="s">
        <v>46</v>
      </c>
      <c r="S6" s="18" t="n">
        <f aca="false">INDEX(Pontos!$B$2:$F$2,MATCH(D6,Pontos!$B$1:$F$1,0))+INDEX(Pontos!$B$3:$F$3,MATCH(E6,Pontos!$B$1:$F$1,0))+INDEX(Pontos!$B$4:$F$4,MATCH(F6,Pontos!$B$1:$F$1,0))+INDEX(Pontos!$B$5:$F$5,MATCH(G6,Pontos!$B$1:$F$1,0))+INDEX(Pontos!$B$6:$F$6,MATCH(H6,Pontos!$B$1:$F$1,0))+INDEX(Pontos!$B$7:$F$7,MATCH(I6,Pontos!$B$1:$F$1,0))+INDEX(Pontos!$B$8:$F$8,MATCH(J6,Pontos!$B$1:$F$1,0))+INDEX(Pontos!$B$9:$F$9,MATCH(K6,Pontos!$B$1:$F$1,0))+INDEX(Pontos!$B$10:$F$10,MATCH(L6,Pontos!$B$1:$F$1,0))+INDEX(Pontos!$B$11:$F$11,MATCH(M6,Pontos!$B$1:$F$1,0))+INDEX(Pontos!$B$12:$F$12,MATCH(N6,Pontos!$B$1:$F$1,0))+INDEX(Pontos!$B$13:$F$13,MATCH(O6,Pontos!$B$1:$F$1,0))+INDEX(Pontos!$B$14:$F$14,MATCH(P6,Listas!$A$2:$A$6,0))+IF(Q6="Sim",4,0)+IF(R6="Sim",2,0)</f>
        <v>34</v>
      </c>
      <c r="T6" s="19" t="str">
        <f aca="false">IF(S6&gt;=45,"A",IF(S6&gt;=38,"B1",IF(S6&gt;=29,"B2",IF(S6&gt;=23,"C1",IF(S6&gt;=17,"C2","D-E")))))</f>
        <v>B2</v>
      </c>
    </row>
    <row r="7" customFormat="false" ht="21" hidden="false" customHeight="true" outlineLevel="0" collapsed="false">
      <c r="A7" s="8" t="n">
        <v>6</v>
      </c>
      <c r="B7" s="20" t="s">
        <v>20</v>
      </c>
      <c r="C7" s="8" t="s">
        <v>41</v>
      </c>
      <c r="D7" s="8" t="s">
        <v>42</v>
      </c>
      <c r="E7" s="8" t="s">
        <v>42</v>
      </c>
      <c r="F7" s="8" t="s">
        <v>42</v>
      </c>
      <c r="G7" s="8" t="s">
        <v>44</v>
      </c>
      <c r="H7" s="8" t="s">
        <v>42</v>
      </c>
      <c r="I7" s="8" t="s">
        <v>42</v>
      </c>
      <c r="J7" s="8" t="s">
        <v>42</v>
      </c>
      <c r="K7" s="8" t="s">
        <v>42</v>
      </c>
      <c r="L7" s="8" t="s">
        <v>42</v>
      </c>
      <c r="M7" s="8" t="s">
        <v>43</v>
      </c>
      <c r="N7" s="8" t="s">
        <v>43</v>
      </c>
      <c r="O7" s="8" t="s">
        <v>43</v>
      </c>
      <c r="P7" s="21" t="s">
        <v>50</v>
      </c>
      <c r="Q7" s="8" t="s">
        <v>46</v>
      </c>
      <c r="R7" s="8" t="s">
        <v>46</v>
      </c>
      <c r="S7" s="22" t="n">
        <f aca="false">INDEX(Pontos!$B$2:$F$2,MATCH(D7,Pontos!$B$1:$F$1,0))+INDEX(Pontos!$B$3:$F$3,MATCH(E7,Pontos!$B$1:$F$1,0))+INDEX(Pontos!$B$4:$F$4,MATCH(F7,Pontos!$B$1:$F$1,0))+INDEX(Pontos!$B$5:$F$5,MATCH(G7,Pontos!$B$1:$F$1,0))+INDEX(Pontos!$B$6:$F$6,MATCH(H7,Pontos!$B$1:$F$1,0))+INDEX(Pontos!$B$7:$F$7,MATCH(I7,Pontos!$B$1:$F$1,0))+INDEX(Pontos!$B$8:$F$8,MATCH(J7,Pontos!$B$1:$F$1,0))+INDEX(Pontos!$B$9:$F$9,MATCH(K7,Pontos!$B$1:$F$1,0))+INDEX(Pontos!$B$10:$F$10,MATCH(L7,Pontos!$B$1:$F$1,0))+INDEX(Pontos!$B$11:$F$11,MATCH(M7,Pontos!$B$1:$F$1,0))+INDEX(Pontos!$B$12:$F$12,MATCH(N7,Pontos!$B$1:$F$1,0))+INDEX(Pontos!$B$13:$F$13,MATCH(O7,Pontos!$B$1:$F$1,0))+INDEX(Pontos!$B$14:$F$14,MATCH(P7,Listas!$A$2:$A$6,0))+IF(Q7="Sim",4,0)+IF(R7="Sim",2,0)</f>
        <v>32</v>
      </c>
      <c r="T7" s="23" t="str">
        <f aca="false">IF(S7&gt;=45,"A",IF(S7&gt;=38,"B1",IF(S7&gt;=29,"B2",IF(S7&gt;=23,"C1",IF(S7&gt;=17,"C2","D-E")))))</f>
        <v>B2</v>
      </c>
    </row>
    <row r="8" customFormat="false" ht="21" hidden="false" customHeight="true" outlineLevel="0" collapsed="false">
      <c r="A8" s="5" t="n">
        <v>7</v>
      </c>
      <c r="B8" s="16" t="s">
        <v>21</v>
      </c>
      <c r="C8" s="5" t="s">
        <v>41</v>
      </c>
      <c r="D8" s="5" t="s">
        <v>42</v>
      </c>
      <c r="E8" s="5" t="s">
        <v>43</v>
      </c>
      <c r="F8" s="5" t="s">
        <v>42</v>
      </c>
      <c r="G8" s="5" t="s">
        <v>42</v>
      </c>
      <c r="H8" s="5" t="s">
        <v>42</v>
      </c>
      <c r="I8" s="5" t="s">
        <v>42</v>
      </c>
      <c r="J8" s="5" t="s">
        <v>42</v>
      </c>
      <c r="K8" s="5" t="s">
        <v>42</v>
      </c>
      <c r="L8" s="5" t="s">
        <v>42</v>
      </c>
      <c r="M8" s="5" t="s">
        <v>42</v>
      </c>
      <c r="N8" s="5" t="s">
        <v>42</v>
      </c>
      <c r="O8" s="5" t="s">
        <v>43</v>
      </c>
      <c r="P8" s="17" t="s">
        <v>45</v>
      </c>
      <c r="Q8" s="5" t="s">
        <v>46</v>
      </c>
      <c r="R8" s="5" t="s">
        <v>46</v>
      </c>
      <c r="S8" s="18" t="n">
        <f aca="false">INDEX(Pontos!$B$2:$F$2,MATCH(D8,Pontos!$B$1:$F$1,0))+INDEX(Pontos!$B$3:$F$3,MATCH(E8,Pontos!$B$1:$F$1,0))+INDEX(Pontos!$B$4:$F$4,MATCH(F8,Pontos!$B$1:$F$1,0))+INDEX(Pontos!$B$5:$F$5,MATCH(G8,Pontos!$B$1:$F$1,0))+INDEX(Pontos!$B$6:$F$6,MATCH(H8,Pontos!$B$1:$F$1,0))+INDEX(Pontos!$B$7:$F$7,MATCH(I8,Pontos!$B$1:$F$1,0))+INDEX(Pontos!$B$8:$F$8,MATCH(J8,Pontos!$B$1:$F$1,0))+INDEX(Pontos!$B$9:$F$9,MATCH(K8,Pontos!$B$1:$F$1,0))+INDEX(Pontos!$B$10:$F$10,MATCH(L8,Pontos!$B$1:$F$1,0))+INDEX(Pontos!$B$11:$F$11,MATCH(M8,Pontos!$B$1:$F$1,0))+INDEX(Pontos!$B$12:$F$12,MATCH(N8,Pontos!$B$1:$F$1,0))+INDEX(Pontos!$B$13:$F$13,MATCH(O8,Pontos!$B$1:$F$1,0))+INDEX(Pontos!$B$14:$F$14,MATCH(P8,Listas!$A$2:$A$6,0))+IF(Q8="Sim",4,0)+IF(R8="Sim",2,0)</f>
        <v>30</v>
      </c>
      <c r="T8" s="19" t="str">
        <f aca="false">IF(S8&gt;=45,"A",IF(S8&gt;=38,"B1",IF(S8&gt;=29,"B2",IF(S8&gt;=23,"C1",IF(S8&gt;=17,"C2","D-E")))))</f>
        <v>B2</v>
      </c>
    </row>
    <row r="9" customFormat="false" ht="21" hidden="false" customHeight="true" outlineLevel="0" collapsed="false">
      <c r="A9" s="8" t="n">
        <v>8</v>
      </c>
      <c r="B9" s="20" t="s">
        <v>21</v>
      </c>
      <c r="C9" s="8" t="s">
        <v>47</v>
      </c>
      <c r="D9" s="8" t="s">
        <v>44</v>
      </c>
      <c r="E9" s="8" t="s">
        <v>43</v>
      </c>
      <c r="F9" s="8" t="s">
        <v>42</v>
      </c>
      <c r="G9" s="8" t="s">
        <v>42</v>
      </c>
      <c r="H9" s="8" t="s">
        <v>43</v>
      </c>
      <c r="I9" s="8" t="s">
        <v>42</v>
      </c>
      <c r="J9" s="8" t="s">
        <v>42</v>
      </c>
      <c r="K9" s="8" t="s">
        <v>42</v>
      </c>
      <c r="L9" s="8" t="s">
        <v>42</v>
      </c>
      <c r="M9" s="8" t="s">
        <v>44</v>
      </c>
      <c r="N9" s="8" t="s">
        <v>43</v>
      </c>
      <c r="O9" s="8" t="s">
        <v>42</v>
      </c>
      <c r="P9" s="21" t="s">
        <v>45</v>
      </c>
      <c r="Q9" s="8" t="s">
        <v>46</v>
      </c>
      <c r="R9" s="8" t="s">
        <v>46</v>
      </c>
      <c r="S9" s="22" t="n">
        <f aca="false">INDEX(Pontos!$B$2:$F$2,MATCH(D9,Pontos!$B$1:$F$1,0))+INDEX(Pontos!$B$3:$F$3,MATCH(E9,Pontos!$B$1:$F$1,0))+INDEX(Pontos!$B$4:$F$4,MATCH(F9,Pontos!$B$1:$F$1,0))+INDEX(Pontos!$B$5:$F$5,MATCH(G9,Pontos!$B$1:$F$1,0))+INDEX(Pontos!$B$6:$F$6,MATCH(H9,Pontos!$B$1:$F$1,0))+INDEX(Pontos!$B$7:$F$7,MATCH(I9,Pontos!$B$1:$F$1,0))+INDEX(Pontos!$B$8:$F$8,MATCH(J9,Pontos!$B$1:$F$1,0))+INDEX(Pontos!$B$9:$F$9,MATCH(K9,Pontos!$B$1:$F$1,0))+INDEX(Pontos!$B$10:$F$10,MATCH(L9,Pontos!$B$1:$F$1,0))+INDEX(Pontos!$B$11:$F$11,MATCH(M9,Pontos!$B$1:$F$1,0))+INDEX(Pontos!$B$12:$F$12,MATCH(N9,Pontos!$B$1:$F$1,0))+INDEX(Pontos!$B$13:$F$13,MATCH(O9,Pontos!$B$1:$F$1,0))+INDEX(Pontos!$B$14:$F$14,MATCH(P9,Listas!$A$2:$A$6,0))+IF(Q9="Sim",4,0)+IF(R9="Sim",2,0)</f>
        <v>34</v>
      </c>
      <c r="T9" s="23" t="str">
        <f aca="false">IF(S9&gt;=45,"A",IF(S9&gt;=38,"B1",IF(S9&gt;=29,"B2",IF(S9&gt;=23,"C1",IF(S9&gt;=17,"C2","D-E")))))</f>
        <v>B2</v>
      </c>
    </row>
    <row r="10" customFormat="false" ht="21" hidden="false" customHeight="true" outlineLevel="0" collapsed="false">
      <c r="A10" s="5" t="n">
        <v>9</v>
      </c>
      <c r="B10" s="16" t="s">
        <v>20</v>
      </c>
      <c r="C10" s="5" t="s">
        <v>51</v>
      </c>
      <c r="D10" s="5" t="s">
        <v>52</v>
      </c>
      <c r="E10" s="5" t="s">
        <v>43</v>
      </c>
      <c r="F10" s="5" t="s">
        <v>44</v>
      </c>
      <c r="G10" s="5" t="s">
        <v>44</v>
      </c>
      <c r="H10" s="5" t="s">
        <v>44</v>
      </c>
      <c r="I10" s="5" t="s">
        <v>44</v>
      </c>
      <c r="J10" s="5" t="s">
        <v>42</v>
      </c>
      <c r="K10" s="5" t="s">
        <v>42</v>
      </c>
      <c r="L10" s="5" t="s">
        <v>42</v>
      </c>
      <c r="M10" s="5" t="s">
        <v>44</v>
      </c>
      <c r="N10" s="5" t="s">
        <v>43</v>
      </c>
      <c r="O10" s="5" t="s">
        <v>42</v>
      </c>
      <c r="P10" s="17" t="s">
        <v>53</v>
      </c>
      <c r="Q10" s="5" t="s">
        <v>46</v>
      </c>
      <c r="R10" s="5" t="s">
        <v>46</v>
      </c>
      <c r="S10" s="18" t="n">
        <f aca="false">INDEX(Pontos!$B$2:$F$2,MATCH(D10,Pontos!$B$1:$F$1,0))+INDEX(Pontos!$B$3:$F$3,MATCH(E10,Pontos!$B$1:$F$1,0))+INDEX(Pontos!$B$4:$F$4,MATCH(F10,Pontos!$B$1:$F$1,0))+INDEX(Pontos!$B$5:$F$5,MATCH(G10,Pontos!$B$1:$F$1,0))+INDEX(Pontos!$B$6:$F$6,MATCH(H10,Pontos!$B$1:$F$1,0))+INDEX(Pontos!$B$7:$F$7,MATCH(I10,Pontos!$B$1:$F$1,0))+INDEX(Pontos!$B$8:$F$8,MATCH(J10,Pontos!$B$1:$F$1,0))+INDEX(Pontos!$B$9:$F$9,MATCH(K10,Pontos!$B$1:$F$1,0))+INDEX(Pontos!$B$10:$F$10,MATCH(L10,Pontos!$B$1:$F$1,0))+INDEX(Pontos!$B$11:$F$11,MATCH(M10,Pontos!$B$1:$F$1,0))+INDEX(Pontos!$B$12:$F$12,MATCH(N10,Pontos!$B$1:$F$1,0))+INDEX(Pontos!$B$13:$F$13,MATCH(O10,Pontos!$B$1:$F$1,0))+INDEX(Pontos!$B$14:$F$14,MATCH(P10,Listas!$A$2:$A$6,0))+IF(Q10="Sim",4,0)+IF(R10="Sim",2,0)</f>
        <v>54</v>
      </c>
      <c r="T10" s="19" t="str">
        <f aca="false">IF(S10&gt;=45,"A",IF(S10&gt;=38,"B1",IF(S10&gt;=29,"B2",IF(S10&gt;=23,"C1",IF(S10&gt;=17,"C2","D-E")))))</f>
        <v>A</v>
      </c>
    </row>
    <row r="11" customFormat="false" ht="21" hidden="false" customHeight="true" outlineLevel="0" collapsed="false">
      <c r="A11" s="8" t="n">
        <v>10</v>
      </c>
      <c r="B11" s="20" t="s">
        <v>20</v>
      </c>
      <c r="C11" s="8" t="s">
        <v>54</v>
      </c>
      <c r="D11" s="8" t="s">
        <v>44</v>
      </c>
      <c r="E11" s="8" t="s">
        <v>43</v>
      </c>
      <c r="F11" s="8" t="s">
        <v>44</v>
      </c>
      <c r="G11" s="8" t="s">
        <v>44</v>
      </c>
      <c r="H11" s="8" t="s">
        <v>43</v>
      </c>
      <c r="I11" s="8" t="s">
        <v>42</v>
      </c>
      <c r="J11" s="8" t="s">
        <v>42</v>
      </c>
      <c r="K11" s="8" t="s">
        <v>44</v>
      </c>
      <c r="L11" s="8" t="s">
        <v>42</v>
      </c>
      <c r="M11" s="8" t="s">
        <v>44</v>
      </c>
      <c r="N11" s="8" t="s">
        <v>43</v>
      </c>
      <c r="O11" s="8" t="s">
        <v>43</v>
      </c>
      <c r="P11" s="21" t="s">
        <v>53</v>
      </c>
      <c r="Q11" s="8" t="s">
        <v>46</v>
      </c>
      <c r="R11" s="8" t="s">
        <v>46</v>
      </c>
      <c r="S11" s="22" t="n">
        <f aca="false">INDEX(Pontos!$B$2:$F$2,MATCH(D11,Pontos!$B$1:$F$1,0))+INDEX(Pontos!$B$3:$F$3,MATCH(E11,Pontos!$B$1:$F$1,0))+INDEX(Pontos!$B$4:$F$4,MATCH(F11,Pontos!$B$1:$F$1,0))+INDEX(Pontos!$B$5:$F$5,MATCH(G11,Pontos!$B$1:$F$1,0))+INDEX(Pontos!$B$6:$F$6,MATCH(H11,Pontos!$B$1:$F$1,0))+INDEX(Pontos!$B$7:$F$7,MATCH(I11,Pontos!$B$1:$F$1,0))+INDEX(Pontos!$B$8:$F$8,MATCH(J11,Pontos!$B$1:$F$1,0))+INDEX(Pontos!$B$9:$F$9,MATCH(K11,Pontos!$B$1:$F$1,0))+INDEX(Pontos!$B$10:$F$10,MATCH(L11,Pontos!$B$1:$F$1,0))+INDEX(Pontos!$B$11:$F$11,MATCH(M11,Pontos!$B$1:$F$1,0))+INDEX(Pontos!$B$12:$F$12,MATCH(N11,Pontos!$B$1:$F$1,0))+INDEX(Pontos!$B$13:$F$13,MATCH(O11,Pontos!$B$1:$F$1,0))+INDEX(Pontos!$B$14:$F$14,MATCH(P11,Listas!$A$2:$A$6,0))+IF(Q11="Sim",4,0)+IF(R11="Sim",2,0)</f>
        <v>44</v>
      </c>
      <c r="T11" s="23" t="str">
        <f aca="false">IF(S11&gt;=45,"A",IF(S11&gt;=38,"B1",IF(S11&gt;=29,"B2",IF(S11&gt;=23,"C1",IF(S11&gt;=17,"C2","D-E")))))</f>
        <v>B1</v>
      </c>
    </row>
    <row r="12" customFormat="false" ht="21" hidden="false" customHeight="true" outlineLevel="0" collapsed="false">
      <c r="A12" s="5" t="n">
        <v>11</v>
      </c>
      <c r="B12" s="16" t="s">
        <v>21</v>
      </c>
      <c r="C12" s="5" t="s">
        <v>54</v>
      </c>
      <c r="D12" s="5" t="s">
        <v>52</v>
      </c>
      <c r="E12" s="5" t="s">
        <v>42</v>
      </c>
      <c r="F12" s="5" t="s">
        <v>44</v>
      </c>
      <c r="G12" s="5" t="s">
        <v>44</v>
      </c>
      <c r="H12" s="5" t="s">
        <v>42</v>
      </c>
      <c r="I12" s="5" t="s">
        <v>44</v>
      </c>
      <c r="J12" s="5" t="s">
        <v>42</v>
      </c>
      <c r="K12" s="5" t="s">
        <v>44</v>
      </c>
      <c r="L12" s="5" t="s">
        <v>42</v>
      </c>
      <c r="M12" s="5" t="s">
        <v>42</v>
      </c>
      <c r="N12" s="5" t="s">
        <v>43</v>
      </c>
      <c r="O12" s="5" t="s">
        <v>43</v>
      </c>
      <c r="P12" s="17" t="s">
        <v>48</v>
      </c>
      <c r="Q12" s="5" t="s">
        <v>46</v>
      </c>
      <c r="R12" s="5" t="s">
        <v>46</v>
      </c>
      <c r="S12" s="18" t="n">
        <f aca="false">INDEX(Pontos!$B$2:$F$2,MATCH(D12,Pontos!$B$1:$F$1,0))+INDEX(Pontos!$B$3:$F$3,MATCH(E12,Pontos!$B$1:$F$1,0))+INDEX(Pontos!$B$4:$F$4,MATCH(F12,Pontos!$B$1:$F$1,0))+INDEX(Pontos!$B$5:$F$5,MATCH(G12,Pontos!$B$1:$F$1,0))+INDEX(Pontos!$B$6:$F$6,MATCH(H12,Pontos!$B$1:$F$1,0))+INDEX(Pontos!$B$7:$F$7,MATCH(I12,Pontos!$B$1:$F$1,0))+INDEX(Pontos!$B$8:$F$8,MATCH(J12,Pontos!$B$1:$F$1,0))+INDEX(Pontos!$B$9:$F$9,MATCH(K12,Pontos!$B$1:$F$1,0))+INDEX(Pontos!$B$10:$F$10,MATCH(L12,Pontos!$B$1:$F$1,0))+INDEX(Pontos!$B$11:$F$11,MATCH(M12,Pontos!$B$1:$F$1,0))+INDEX(Pontos!$B$12:$F$12,MATCH(N12,Pontos!$B$1:$F$1,0))+INDEX(Pontos!$B$13:$F$13,MATCH(O12,Pontos!$B$1:$F$1,0))+INDEX(Pontos!$B$14:$F$14,MATCH(P12,Listas!$A$2:$A$6,0))+IF(Q12="Sim",4,0)+IF(R12="Sim",2,0)</f>
        <v>49</v>
      </c>
      <c r="T12" s="19" t="str">
        <f aca="false">IF(S12&gt;=45,"A",IF(S12&gt;=38,"B1",IF(S12&gt;=29,"B2",IF(S12&gt;=23,"C1",IF(S12&gt;=17,"C2","D-E")))))</f>
        <v>A</v>
      </c>
    </row>
    <row r="13" customFormat="false" ht="21" hidden="false" customHeight="true" outlineLevel="0" collapsed="false">
      <c r="A13" s="8" t="n">
        <v>12</v>
      </c>
      <c r="B13" s="20" t="s">
        <v>20</v>
      </c>
      <c r="C13" s="8" t="s">
        <v>49</v>
      </c>
      <c r="D13" s="8" t="s">
        <v>44</v>
      </c>
      <c r="E13" s="8" t="s">
        <v>43</v>
      </c>
      <c r="F13" s="8" t="s">
        <v>42</v>
      </c>
      <c r="G13" s="8" t="s">
        <v>42</v>
      </c>
      <c r="H13" s="8" t="s">
        <v>43</v>
      </c>
      <c r="I13" s="8" t="s">
        <v>44</v>
      </c>
      <c r="J13" s="8" t="s">
        <v>42</v>
      </c>
      <c r="K13" s="8" t="s">
        <v>42</v>
      </c>
      <c r="L13" s="8" t="s">
        <v>43</v>
      </c>
      <c r="M13" s="8" t="s">
        <v>42</v>
      </c>
      <c r="N13" s="8" t="s">
        <v>43</v>
      </c>
      <c r="O13" s="8" t="s">
        <v>42</v>
      </c>
      <c r="P13" s="21" t="s">
        <v>48</v>
      </c>
      <c r="Q13" s="8" t="s">
        <v>46</v>
      </c>
      <c r="R13" s="8" t="s">
        <v>46</v>
      </c>
      <c r="S13" s="22" t="n">
        <f aca="false">INDEX(Pontos!$B$2:$F$2,MATCH(D13,Pontos!$B$1:$F$1,0))+INDEX(Pontos!$B$3:$F$3,MATCH(E13,Pontos!$B$1:$F$1,0))+INDEX(Pontos!$B$4:$F$4,MATCH(F13,Pontos!$B$1:$F$1,0))+INDEX(Pontos!$B$5:$F$5,MATCH(G13,Pontos!$B$1:$F$1,0))+INDEX(Pontos!$B$6:$F$6,MATCH(H13,Pontos!$B$1:$F$1,0))+INDEX(Pontos!$B$7:$F$7,MATCH(I13,Pontos!$B$1:$F$1,0))+INDEX(Pontos!$B$8:$F$8,MATCH(J13,Pontos!$B$1:$F$1,0))+INDEX(Pontos!$B$9:$F$9,MATCH(K13,Pontos!$B$1:$F$1,0))+INDEX(Pontos!$B$10:$F$10,MATCH(L13,Pontos!$B$1:$F$1,0))+INDEX(Pontos!$B$11:$F$11,MATCH(M13,Pontos!$B$1:$F$1,0))+INDEX(Pontos!$B$12:$F$12,MATCH(N13,Pontos!$B$1:$F$1,0))+INDEX(Pontos!$B$13:$F$13,MATCH(O13,Pontos!$B$1:$F$1,0))+INDEX(Pontos!$B$14:$F$14,MATCH(P13,Listas!$A$2:$A$6,0))+IF(Q13="Sim",4,0)+IF(R13="Sim",2,0)</f>
        <v>34</v>
      </c>
      <c r="T13" s="23" t="str">
        <f aca="false">IF(S13&gt;=45,"A",IF(S13&gt;=38,"B1",IF(S13&gt;=29,"B2",IF(S13&gt;=23,"C1",IF(S13&gt;=17,"C2","D-E")))))</f>
        <v>B2</v>
      </c>
    </row>
    <row r="14" customFormat="false" ht="21" hidden="false" customHeight="true" outlineLevel="0" collapsed="false">
      <c r="A14" s="5" t="n">
        <v>13</v>
      </c>
      <c r="B14" s="16" t="s">
        <v>21</v>
      </c>
      <c r="C14" s="5" t="s">
        <v>47</v>
      </c>
      <c r="D14" s="5" t="s">
        <v>44</v>
      </c>
      <c r="E14" s="5" t="s">
        <v>42</v>
      </c>
      <c r="F14" s="5" t="s">
        <v>42</v>
      </c>
      <c r="G14" s="5" t="s">
        <v>42</v>
      </c>
      <c r="H14" s="5" t="s">
        <v>42</v>
      </c>
      <c r="I14" s="5" t="s">
        <v>44</v>
      </c>
      <c r="J14" s="5" t="s">
        <v>42</v>
      </c>
      <c r="K14" s="5" t="s">
        <v>42</v>
      </c>
      <c r="L14" s="5" t="s">
        <v>42</v>
      </c>
      <c r="M14" s="5" t="s">
        <v>42</v>
      </c>
      <c r="N14" s="5" t="s">
        <v>43</v>
      </c>
      <c r="O14" s="5" t="s">
        <v>43</v>
      </c>
      <c r="P14" s="17" t="s">
        <v>45</v>
      </c>
      <c r="Q14" s="5" t="s">
        <v>46</v>
      </c>
      <c r="R14" s="5" t="s">
        <v>46</v>
      </c>
      <c r="S14" s="18" t="n">
        <f aca="false">INDEX(Pontos!$B$2:$F$2,MATCH(D14,Pontos!$B$1:$F$1,0))+INDEX(Pontos!$B$3:$F$3,MATCH(E14,Pontos!$B$1:$F$1,0))+INDEX(Pontos!$B$4:$F$4,MATCH(F14,Pontos!$B$1:$F$1,0))+INDEX(Pontos!$B$5:$F$5,MATCH(G14,Pontos!$B$1:$F$1,0))+INDEX(Pontos!$B$6:$F$6,MATCH(H14,Pontos!$B$1:$F$1,0))+INDEX(Pontos!$B$7:$F$7,MATCH(I14,Pontos!$B$1:$F$1,0))+INDEX(Pontos!$B$8:$F$8,MATCH(J14,Pontos!$B$1:$F$1,0))+INDEX(Pontos!$B$9:$F$9,MATCH(K14,Pontos!$B$1:$F$1,0))+INDEX(Pontos!$B$10:$F$10,MATCH(L14,Pontos!$B$1:$F$1,0))+INDEX(Pontos!$B$11:$F$11,MATCH(M14,Pontos!$B$1:$F$1,0))+INDEX(Pontos!$B$12:$F$12,MATCH(N14,Pontos!$B$1:$F$1,0))+INDEX(Pontos!$B$13:$F$13,MATCH(O14,Pontos!$B$1:$F$1,0))+INDEX(Pontos!$B$14:$F$14,MATCH(P14,Listas!$A$2:$A$6,0))+IF(Q14="Sim",4,0)+IF(R14="Sim",2,0)</f>
        <v>37</v>
      </c>
      <c r="T14" s="19" t="str">
        <f aca="false">IF(S14&gt;=45,"A",IF(S14&gt;=38,"B1",IF(S14&gt;=29,"B2",IF(S14&gt;=23,"C1",IF(S14&gt;=17,"C2","D-E")))))</f>
        <v>B2</v>
      </c>
    </row>
    <row r="15" customFormat="false" ht="21" hidden="false" customHeight="true" outlineLevel="0" collapsed="false">
      <c r="A15" s="8" t="n">
        <v>14</v>
      </c>
      <c r="B15" s="20" t="s">
        <v>20</v>
      </c>
      <c r="C15" s="8" t="s">
        <v>49</v>
      </c>
      <c r="D15" s="8" t="s">
        <v>44</v>
      </c>
      <c r="E15" s="8" t="s">
        <v>43</v>
      </c>
      <c r="F15" s="8" t="s">
        <v>44</v>
      </c>
      <c r="G15" s="8" t="s">
        <v>44</v>
      </c>
      <c r="H15" s="8" t="s">
        <v>42</v>
      </c>
      <c r="I15" s="8" t="s">
        <v>42</v>
      </c>
      <c r="J15" s="8" t="s">
        <v>42</v>
      </c>
      <c r="K15" s="8" t="s">
        <v>44</v>
      </c>
      <c r="L15" s="8" t="s">
        <v>43</v>
      </c>
      <c r="M15" s="8" t="s">
        <v>44</v>
      </c>
      <c r="N15" s="8" t="s">
        <v>43</v>
      </c>
      <c r="O15" s="8" t="s">
        <v>42</v>
      </c>
      <c r="P15" s="21" t="s">
        <v>48</v>
      </c>
      <c r="Q15" s="8" t="s">
        <v>46</v>
      </c>
      <c r="R15" s="8" t="s">
        <v>46</v>
      </c>
      <c r="S15" s="22" t="n">
        <f aca="false">INDEX(Pontos!$B$2:$F$2,MATCH(D15,Pontos!$B$1:$F$1,0))+INDEX(Pontos!$B$3:$F$3,MATCH(E15,Pontos!$B$1:$F$1,0))+INDEX(Pontos!$B$4:$F$4,MATCH(F15,Pontos!$B$1:$F$1,0))+INDEX(Pontos!$B$5:$F$5,MATCH(G15,Pontos!$B$1:$F$1,0))+INDEX(Pontos!$B$6:$F$6,MATCH(H15,Pontos!$B$1:$F$1,0))+INDEX(Pontos!$B$7:$F$7,MATCH(I15,Pontos!$B$1:$F$1,0))+INDEX(Pontos!$B$8:$F$8,MATCH(J15,Pontos!$B$1:$F$1,0))+INDEX(Pontos!$B$9:$F$9,MATCH(K15,Pontos!$B$1:$F$1,0))+INDEX(Pontos!$B$10:$F$10,MATCH(L15,Pontos!$B$1:$F$1,0))+INDEX(Pontos!$B$11:$F$11,MATCH(M15,Pontos!$B$1:$F$1,0))+INDEX(Pontos!$B$12:$F$12,MATCH(N15,Pontos!$B$1:$F$1,0))+INDEX(Pontos!$B$13:$F$13,MATCH(O15,Pontos!$B$1:$F$1,0))+INDEX(Pontos!$B$14:$F$14,MATCH(P15,Listas!$A$2:$A$6,0))+IF(Q15="Sim",4,0)+IF(R15="Sim",2,0)</f>
        <v>45</v>
      </c>
      <c r="T15" s="23" t="str">
        <f aca="false">IF(S15&gt;=45,"A",IF(S15&gt;=38,"B1",IF(S15&gt;=29,"B2",IF(S15&gt;=23,"C1",IF(S15&gt;=17,"C2","D-E")))))</f>
        <v>A</v>
      </c>
    </row>
    <row r="16" customFormat="false" ht="21" hidden="false" customHeight="true" outlineLevel="0" collapsed="false">
      <c r="A16" s="5" t="n">
        <v>15</v>
      </c>
      <c r="B16" s="16" t="s">
        <v>21</v>
      </c>
      <c r="C16" s="5" t="s">
        <v>41</v>
      </c>
      <c r="D16" s="5" t="s">
        <v>42</v>
      </c>
      <c r="E16" s="5" t="s">
        <v>43</v>
      </c>
      <c r="F16" s="5" t="s">
        <v>43</v>
      </c>
      <c r="G16" s="5" t="s">
        <v>44</v>
      </c>
      <c r="H16" s="5" t="s">
        <v>43</v>
      </c>
      <c r="I16" s="5" t="s">
        <v>42</v>
      </c>
      <c r="J16" s="5" t="s">
        <v>42</v>
      </c>
      <c r="K16" s="5" t="s">
        <v>42</v>
      </c>
      <c r="L16" s="5" t="s">
        <v>43</v>
      </c>
      <c r="M16" s="5" t="s">
        <v>42</v>
      </c>
      <c r="N16" s="5" t="s">
        <v>42</v>
      </c>
      <c r="O16" s="5" t="s">
        <v>43</v>
      </c>
      <c r="P16" s="17" t="s">
        <v>45</v>
      </c>
      <c r="Q16" s="5" t="s">
        <v>46</v>
      </c>
      <c r="R16" s="5" t="s">
        <v>46</v>
      </c>
      <c r="S16" s="18" t="n">
        <f aca="false">INDEX(Pontos!$B$2:$F$2,MATCH(D16,Pontos!$B$1:$F$1,0))+INDEX(Pontos!$B$3:$F$3,MATCH(E16,Pontos!$B$1:$F$1,0))+INDEX(Pontos!$B$4:$F$4,MATCH(F16,Pontos!$B$1:$F$1,0))+INDEX(Pontos!$B$5:$F$5,MATCH(G16,Pontos!$B$1:$F$1,0))+INDEX(Pontos!$B$6:$F$6,MATCH(H16,Pontos!$B$1:$F$1,0))+INDEX(Pontos!$B$7:$F$7,MATCH(I16,Pontos!$B$1:$F$1,0))+INDEX(Pontos!$B$8:$F$8,MATCH(J16,Pontos!$B$1:$F$1,0))+INDEX(Pontos!$B$9:$F$9,MATCH(K16,Pontos!$B$1:$F$1,0))+INDEX(Pontos!$B$10:$F$10,MATCH(L16,Pontos!$B$1:$F$1,0))+INDEX(Pontos!$B$11:$F$11,MATCH(M16,Pontos!$B$1:$F$1,0))+INDEX(Pontos!$B$12:$F$12,MATCH(N16,Pontos!$B$1:$F$1,0))+INDEX(Pontos!$B$13:$F$13,MATCH(O16,Pontos!$B$1:$F$1,0))+INDEX(Pontos!$B$14:$F$14,MATCH(P16,Listas!$A$2:$A$6,0))+IF(Q16="Sim",4,0)+IF(R16="Sim",2,0)</f>
        <v>26</v>
      </c>
      <c r="T16" s="19" t="str">
        <f aca="false">IF(S16&gt;=45,"A",IF(S16&gt;=38,"B1",IF(S16&gt;=29,"B2",IF(S16&gt;=23,"C1",IF(S16&gt;=17,"C2","D-E")))))</f>
        <v>C1</v>
      </c>
    </row>
    <row r="17" customFormat="false" ht="21" hidden="false" customHeight="true" outlineLevel="0" collapsed="false">
      <c r="A17" s="8" t="n">
        <v>16</v>
      </c>
      <c r="B17" s="20" t="s">
        <v>20</v>
      </c>
      <c r="C17" s="8" t="s">
        <v>49</v>
      </c>
      <c r="D17" s="8" t="s">
        <v>44</v>
      </c>
      <c r="E17" s="8" t="s">
        <v>42</v>
      </c>
      <c r="F17" s="8" t="s">
        <v>42</v>
      </c>
      <c r="G17" s="8" t="s">
        <v>44</v>
      </c>
      <c r="H17" s="8" t="s">
        <v>43</v>
      </c>
      <c r="I17" s="8" t="s">
        <v>42</v>
      </c>
      <c r="J17" s="8" t="s">
        <v>42</v>
      </c>
      <c r="K17" s="8" t="s">
        <v>44</v>
      </c>
      <c r="L17" s="8" t="s">
        <v>42</v>
      </c>
      <c r="M17" s="8" t="s">
        <v>42</v>
      </c>
      <c r="N17" s="8" t="s">
        <v>43</v>
      </c>
      <c r="O17" s="8" t="s">
        <v>42</v>
      </c>
      <c r="P17" s="21" t="s">
        <v>48</v>
      </c>
      <c r="Q17" s="8" t="s">
        <v>46</v>
      </c>
      <c r="R17" s="8" t="s">
        <v>46</v>
      </c>
      <c r="S17" s="22" t="n">
        <f aca="false">INDEX(Pontos!$B$2:$F$2,MATCH(D17,Pontos!$B$1:$F$1,0))+INDEX(Pontos!$B$3:$F$3,MATCH(E17,Pontos!$B$1:$F$1,0))+INDEX(Pontos!$B$4:$F$4,MATCH(F17,Pontos!$B$1:$F$1,0))+INDEX(Pontos!$B$5:$F$5,MATCH(G17,Pontos!$B$1:$F$1,0))+INDEX(Pontos!$B$6:$F$6,MATCH(H17,Pontos!$B$1:$F$1,0))+INDEX(Pontos!$B$7:$F$7,MATCH(I17,Pontos!$B$1:$F$1,0))+INDEX(Pontos!$B$8:$F$8,MATCH(J17,Pontos!$B$1:$F$1,0))+INDEX(Pontos!$B$9:$F$9,MATCH(K17,Pontos!$B$1:$F$1,0))+INDEX(Pontos!$B$10:$F$10,MATCH(L17,Pontos!$B$1:$F$1,0))+INDEX(Pontos!$B$11:$F$11,MATCH(M17,Pontos!$B$1:$F$1,0))+INDEX(Pontos!$B$12:$F$12,MATCH(N17,Pontos!$B$1:$F$1,0))+INDEX(Pontos!$B$13:$F$13,MATCH(O17,Pontos!$B$1:$F$1,0))+INDEX(Pontos!$B$14:$F$14,MATCH(P17,Listas!$A$2:$A$6,0))+IF(Q17="Sim",4,0)+IF(R17="Sim",2,0)</f>
        <v>42</v>
      </c>
      <c r="T17" s="23" t="str">
        <f aca="false">IF(S17&gt;=45,"A",IF(S17&gt;=38,"B1",IF(S17&gt;=29,"B2",IF(S17&gt;=23,"C1",IF(S17&gt;=17,"C2","D-E")))))</f>
        <v>B1</v>
      </c>
    </row>
    <row r="18" customFormat="false" ht="21" hidden="false" customHeight="true" outlineLevel="0" collapsed="false">
      <c r="A18" s="5" t="n">
        <v>17</v>
      </c>
      <c r="B18" s="16" t="s">
        <v>21</v>
      </c>
      <c r="C18" s="5" t="s">
        <v>49</v>
      </c>
      <c r="D18" s="5" t="s">
        <v>44</v>
      </c>
      <c r="E18" s="5" t="s">
        <v>43</v>
      </c>
      <c r="F18" s="5" t="s">
        <v>42</v>
      </c>
      <c r="G18" s="5" t="s">
        <v>42</v>
      </c>
      <c r="H18" s="5" t="s">
        <v>42</v>
      </c>
      <c r="I18" s="5" t="s">
        <v>44</v>
      </c>
      <c r="J18" s="5" t="s">
        <v>42</v>
      </c>
      <c r="K18" s="5" t="s">
        <v>42</v>
      </c>
      <c r="L18" s="5" t="s">
        <v>42</v>
      </c>
      <c r="M18" s="5" t="s">
        <v>42</v>
      </c>
      <c r="N18" s="5" t="s">
        <v>43</v>
      </c>
      <c r="O18" s="5" t="s">
        <v>43</v>
      </c>
      <c r="P18" s="17" t="s">
        <v>48</v>
      </c>
      <c r="Q18" s="5" t="s">
        <v>46</v>
      </c>
      <c r="R18" s="5" t="s">
        <v>46</v>
      </c>
      <c r="S18" s="18" t="n">
        <f aca="false">INDEX(Pontos!$B$2:$F$2,MATCH(D18,Pontos!$B$1:$F$1,0))+INDEX(Pontos!$B$3:$F$3,MATCH(E18,Pontos!$B$1:$F$1,0))+INDEX(Pontos!$B$4:$F$4,MATCH(F18,Pontos!$B$1:$F$1,0))+INDEX(Pontos!$B$5:$F$5,MATCH(G18,Pontos!$B$1:$F$1,0))+INDEX(Pontos!$B$6:$F$6,MATCH(H18,Pontos!$B$1:$F$1,0))+INDEX(Pontos!$B$7:$F$7,MATCH(I18,Pontos!$B$1:$F$1,0))+INDEX(Pontos!$B$8:$F$8,MATCH(J18,Pontos!$B$1:$F$1,0))+INDEX(Pontos!$B$9:$F$9,MATCH(K18,Pontos!$B$1:$F$1,0))+INDEX(Pontos!$B$10:$F$10,MATCH(L18,Pontos!$B$1:$F$1,0))+INDEX(Pontos!$B$11:$F$11,MATCH(M18,Pontos!$B$1:$F$1,0))+INDEX(Pontos!$B$12:$F$12,MATCH(N18,Pontos!$B$1:$F$1,0))+INDEX(Pontos!$B$13:$F$13,MATCH(O18,Pontos!$B$1:$F$1,0))+INDEX(Pontos!$B$14:$F$14,MATCH(P18,Listas!$A$2:$A$6,0))+IF(Q18="Sim",4,0)+IF(R18="Sim",2,0)</f>
        <v>36</v>
      </c>
      <c r="T18" s="19" t="str">
        <f aca="false">IF(S18&gt;=45,"A",IF(S18&gt;=38,"B1",IF(S18&gt;=29,"B2",IF(S18&gt;=23,"C1",IF(S18&gt;=17,"C2","D-E")))))</f>
        <v>B2</v>
      </c>
    </row>
    <row r="19" customFormat="false" ht="21" hidden="false" customHeight="true" outlineLevel="0" collapsed="false">
      <c r="A19" s="8" t="n">
        <v>18</v>
      </c>
      <c r="B19" s="20" t="s">
        <v>21</v>
      </c>
      <c r="C19" s="8" t="s">
        <v>41</v>
      </c>
      <c r="D19" s="8" t="s">
        <v>42</v>
      </c>
      <c r="E19" s="8" t="s">
        <v>43</v>
      </c>
      <c r="F19" s="8" t="s">
        <v>42</v>
      </c>
      <c r="G19" s="8" t="s">
        <v>42</v>
      </c>
      <c r="H19" s="8" t="s">
        <v>42</v>
      </c>
      <c r="I19" s="8" t="s">
        <v>42</v>
      </c>
      <c r="J19" s="8" t="s">
        <v>43</v>
      </c>
      <c r="K19" s="8" t="s">
        <v>42</v>
      </c>
      <c r="L19" s="8" t="s">
        <v>43</v>
      </c>
      <c r="M19" s="8" t="s">
        <v>42</v>
      </c>
      <c r="N19" s="8" t="s">
        <v>42</v>
      </c>
      <c r="O19" s="8" t="s">
        <v>42</v>
      </c>
      <c r="P19" s="21" t="s">
        <v>45</v>
      </c>
      <c r="Q19" s="8" t="s">
        <v>46</v>
      </c>
      <c r="R19" s="8" t="s">
        <v>46</v>
      </c>
      <c r="S19" s="22" t="n">
        <f aca="false">INDEX(Pontos!$B$2:$F$2,MATCH(D19,Pontos!$B$1:$F$1,0))+INDEX(Pontos!$B$3:$F$3,MATCH(E19,Pontos!$B$1:$F$1,0))+INDEX(Pontos!$B$4:$F$4,MATCH(F19,Pontos!$B$1:$F$1,0))+INDEX(Pontos!$B$5:$F$5,MATCH(G19,Pontos!$B$1:$F$1,0))+INDEX(Pontos!$B$6:$F$6,MATCH(H19,Pontos!$B$1:$F$1,0))+INDEX(Pontos!$B$7:$F$7,MATCH(I19,Pontos!$B$1:$F$1,0))+INDEX(Pontos!$B$8:$F$8,MATCH(J19,Pontos!$B$1:$F$1,0))+INDEX(Pontos!$B$9:$F$9,MATCH(K19,Pontos!$B$1:$F$1,0))+INDEX(Pontos!$B$10:$F$10,MATCH(L19,Pontos!$B$1:$F$1,0))+INDEX(Pontos!$B$11:$F$11,MATCH(M19,Pontos!$B$1:$F$1,0))+INDEX(Pontos!$B$12:$F$12,MATCH(N19,Pontos!$B$1:$F$1,0))+INDEX(Pontos!$B$13:$F$13,MATCH(O19,Pontos!$B$1:$F$1,0))+INDEX(Pontos!$B$14:$F$14,MATCH(P19,Listas!$A$2:$A$6,0))+IF(Q19="Sim",4,0)+IF(R19="Sim",2,0)</f>
        <v>29</v>
      </c>
      <c r="T19" s="23" t="str">
        <f aca="false">IF(S19&gt;=45,"A",IF(S19&gt;=38,"B1",IF(S19&gt;=29,"B2",IF(S19&gt;=23,"C1",IF(S19&gt;=17,"C2","D-E")))))</f>
        <v>B2</v>
      </c>
    </row>
    <row r="20" customFormat="false" ht="21" hidden="false" customHeight="true" outlineLevel="0" collapsed="false">
      <c r="A20" s="5" t="n">
        <v>19</v>
      </c>
      <c r="B20" s="16" t="s">
        <v>21</v>
      </c>
      <c r="C20" s="5" t="s">
        <v>41</v>
      </c>
      <c r="D20" s="5" t="s">
        <v>44</v>
      </c>
      <c r="E20" s="5" t="s">
        <v>43</v>
      </c>
      <c r="F20" s="5" t="s">
        <v>42</v>
      </c>
      <c r="G20" s="5" t="s">
        <v>42</v>
      </c>
      <c r="H20" s="5" t="s">
        <v>42</v>
      </c>
      <c r="I20" s="5" t="s">
        <v>42</v>
      </c>
      <c r="J20" s="5" t="s">
        <v>43</v>
      </c>
      <c r="K20" s="5" t="s">
        <v>42</v>
      </c>
      <c r="L20" s="5" t="s">
        <v>43</v>
      </c>
      <c r="M20" s="5" t="s">
        <v>43</v>
      </c>
      <c r="N20" s="5" t="s">
        <v>43</v>
      </c>
      <c r="O20" s="5" t="s">
        <v>43</v>
      </c>
      <c r="P20" s="17" t="s">
        <v>45</v>
      </c>
      <c r="Q20" s="5" t="s">
        <v>46</v>
      </c>
      <c r="R20" s="5" t="s">
        <v>46</v>
      </c>
      <c r="S20" s="18" t="n">
        <f aca="false">INDEX(Pontos!$B$2:$F$2,MATCH(D20,Pontos!$B$1:$F$1,0))+INDEX(Pontos!$B$3:$F$3,MATCH(E20,Pontos!$B$1:$F$1,0))+INDEX(Pontos!$B$4:$F$4,MATCH(F20,Pontos!$B$1:$F$1,0))+INDEX(Pontos!$B$5:$F$5,MATCH(G20,Pontos!$B$1:$F$1,0))+INDEX(Pontos!$B$6:$F$6,MATCH(H20,Pontos!$B$1:$F$1,0))+INDEX(Pontos!$B$7:$F$7,MATCH(I20,Pontos!$B$1:$F$1,0))+INDEX(Pontos!$B$8:$F$8,MATCH(J20,Pontos!$B$1:$F$1,0))+INDEX(Pontos!$B$9:$F$9,MATCH(K20,Pontos!$B$1:$F$1,0))+INDEX(Pontos!$B$10:$F$10,MATCH(L20,Pontos!$B$1:$F$1,0))+INDEX(Pontos!$B$11:$F$11,MATCH(M20,Pontos!$B$1:$F$1,0))+INDEX(Pontos!$B$12:$F$12,MATCH(N20,Pontos!$B$1:$F$1,0))+INDEX(Pontos!$B$13:$F$13,MATCH(O20,Pontos!$B$1:$F$1,0))+INDEX(Pontos!$B$14:$F$14,MATCH(P20,Listas!$A$2:$A$6,0))+IF(Q20="Sim",4,0)+IF(R20="Sim",2,0)</f>
        <v>28</v>
      </c>
      <c r="T20" s="19" t="str">
        <f aca="false">IF(S20&gt;=45,"A",IF(S20&gt;=38,"B1",IF(S20&gt;=29,"B2",IF(S20&gt;=23,"C1",IF(S20&gt;=17,"C2","D-E")))))</f>
        <v>C1</v>
      </c>
    </row>
    <row r="21" customFormat="false" ht="21" hidden="false" customHeight="true" outlineLevel="0" collapsed="false">
      <c r="A21" s="8" t="n">
        <v>20</v>
      </c>
      <c r="B21" s="20" t="s">
        <v>21</v>
      </c>
      <c r="C21" s="8" t="s">
        <v>55</v>
      </c>
      <c r="D21" s="8" t="s">
        <v>42</v>
      </c>
      <c r="E21" s="8" t="s">
        <v>43</v>
      </c>
      <c r="F21" s="8" t="s">
        <v>43</v>
      </c>
      <c r="G21" s="8" t="s">
        <v>43</v>
      </c>
      <c r="H21" s="8" t="s">
        <v>43</v>
      </c>
      <c r="I21" s="8" t="s">
        <v>42</v>
      </c>
      <c r="J21" s="8" t="s">
        <v>43</v>
      </c>
      <c r="K21" s="8" t="s">
        <v>43</v>
      </c>
      <c r="L21" s="8" t="s">
        <v>42</v>
      </c>
      <c r="M21" s="8" t="s">
        <v>42</v>
      </c>
      <c r="N21" s="8" t="s">
        <v>43</v>
      </c>
      <c r="O21" s="8" t="s">
        <v>43</v>
      </c>
      <c r="P21" s="21" t="s">
        <v>45</v>
      </c>
      <c r="Q21" s="8" t="s">
        <v>46</v>
      </c>
      <c r="R21" s="8" t="s">
        <v>46</v>
      </c>
      <c r="S21" s="22" t="n">
        <f aca="false">INDEX(Pontos!$B$2:$F$2,MATCH(D21,Pontos!$B$1:$F$1,0))+INDEX(Pontos!$B$3:$F$3,MATCH(E21,Pontos!$B$1:$F$1,0))+INDEX(Pontos!$B$4:$F$4,MATCH(F21,Pontos!$B$1:$F$1,0))+INDEX(Pontos!$B$5:$F$5,MATCH(G21,Pontos!$B$1:$F$1,0))+INDEX(Pontos!$B$6:$F$6,MATCH(H21,Pontos!$B$1:$F$1,0))+INDEX(Pontos!$B$7:$F$7,MATCH(I21,Pontos!$B$1:$F$1,0))+INDEX(Pontos!$B$8:$F$8,MATCH(J21,Pontos!$B$1:$F$1,0))+INDEX(Pontos!$B$9:$F$9,MATCH(K21,Pontos!$B$1:$F$1,0))+INDEX(Pontos!$B$10:$F$10,MATCH(L21,Pontos!$B$1:$F$1,0))+INDEX(Pontos!$B$11:$F$11,MATCH(M21,Pontos!$B$1:$F$1,0))+INDEX(Pontos!$B$12:$F$12,MATCH(N21,Pontos!$B$1:$F$1,0))+INDEX(Pontos!$B$13:$F$13,MATCH(O21,Pontos!$B$1:$F$1,0))+INDEX(Pontos!$B$14:$F$14,MATCH(P21,Listas!$A$2:$A$6,0))+IF(Q21="Sim",4,0)+IF(R21="Sim",2,0)</f>
        <v>16</v>
      </c>
      <c r="T21" s="23" t="str">
        <f aca="false">IF(S21&gt;=45,"A",IF(S21&gt;=38,"B1",IF(S21&gt;=29,"B2",IF(S21&gt;=23,"C1",IF(S21&gt;=17,"C2","D-E")))))</f>
        <v>D-E</v>
      </c>
    </row>
    <row r="22" customFormat="false" ht="21" hidden="false" customHeight="true" outlineLevel="0" collapsed="false">
      <c r="A22" s="5" t="n">
        <v>21</v>
      </c>
      <c r="B22" s="16" t="s">
        <v>20</v>
      </c>
      <c r="C22" s="5" t="s">
        <v>55</v>
      </c>
      <c r="D22" s="5" t="s">
        <v>42</v>
      </c>
      <c r="E22" s="5" t="s">
        <v>43</v>
      </c>
      <c r="F22" s="5" t="s">
        <v>42</v>
      </c>
      <c r="G22" s="5" t="s">
        <v>42</v>
      </c>
      <c r="H22" s="5" t="s">
        <v>43</v>
      </c>
      <c r="I22" s="5" t="s">
        <v>42</v>
      </c>
      <c r="J22" s="5" t="s">
        <v>43</v>
      </c>
      <c r="K22" s="5" t="s">
        <v>42</v>
      </c>
      <c r="L22" s="5" t="s">
        <v>43</v>
      </c>
      <c r="M22" s="5" t="s">
        <v>43</v>
      </c>
      <c r="N22" s="5" t="s">
        <v>42</v>
      </c>
      <c r="O22" s="5" t="s">
        <v>43</v>
      </c>
      <c r="P22" s="17" t="s">
        <v>50</v>
      </c>
      <c r="Q22" s="5" t="s">
        <v>46</v>
      </c>
      <c r="R22" s="5" t="s">
        <v>46</v>
      </c>
      <c r="S22" s="18" t="n">
        <f aca="false">INDEX(Pontos!$B$2:$F$2,MATCH(D22,Pontos!$B$1:$F$1,0))+INDEX(Pontos!$B$3:$F$3,MATCH(E22,Pontos!$B$1:$F$1,0))+INDEX(Pontos!$B$4:$F$4,MATCH(F22,Pontos!$B$1:$F$1,0))+INDEX(Pontos!$B$5:$F$5,MATCH(G22,Pontos!$B$1:$F$1,0))+INDEX(Pontos!$B$6:$F$6,MATCH(H22,Pontos!$B$1:$F$1,0))+INDEX(Pontos!$B$7:$F$7,MATCH(I22,Pontos!$B$1:$F$1,0))+INDEX(Pontos!$B$8:$F$8,MATCH(J22,Pontos!$B$1:$F$1,0))+INDEX(Pontos!$B$9:$F$9,MATCH(K22,Pontos!$B$1:$F$1,0))+INDEX(Pontos!$B$10:$F$10,MATCH(L22,Pontos!$B$1:$F$1,0))+INDEX(Pontos!$B$11:$F$11,MATCH(M22,Pontos!$B$1:$F$1,0))+INDEX(Pontos!$B$12:$F$12,MATCH(N22,Pontos!$B$1:$F$1,0))+INDEX(Pontos!$B$13:$F$13,MATCH(O22,Pontos!$B$1:$F$1,0))+INDEX(Pontos!$B$14:$F$14,MATCH(P22,Listas!$A$2:$A$6,0))+IF(Q22="Sim",4,0)+IF(R22="Sim",2,0)</f>
        <v>21</v>
      </c>
      <c r="T22" s="19" t="str">
        <f aca="false">IF(S22&gt;=45,"A",IF(S22&gt;=38,"B1",IF(S22&gt;=29,"B2",IF(S22&gt;=23,"C1",IF(S22&gt;=17,"C2","D-E")))))</f>
        <v>C2</v>
      </c>
    </row>
    <row r="23" customFormat="false" ht="21" hidden="false" customHeight="true" outlineLevel="0" collapsed="false">
      <c r="A23" s="8" t="n">
        <v>22</v>
      </c>
      <c r="B23" s="20" t="s">
        <v>21</v>
      </c>
      <c r="C23" s="8" t="s">
        <v>47</v>
      </c>
      <c r="D23" s="8" t="s">
        <v>44</v>
      </c>
      <c r="E23" s="8" t="s">
        <v>43</v>
      </c>
      <c r="F23" s="8" t="s">
        <v>44</v>
      </c>
      <c r="G23" s="8" t="s">
        <v>42</v>
      </c>
      <c r="H23" s="8" t="s">
        <v>43</v>
      </c>
      <c r="I23" s="8" t="s">
        <v>42</v>
      </c>
      <c r="J23" s="8" t="s">
        <v>42</v>
      </c>
      <c r="K23" s="8" t="s">
        <v>42</v>
      </c>
      <c r="L23" s="8" t="s">
        <v>42</v>
      </c>
      <c r="M23" s="8" t="s">
        <v>42</v>
      </c>
      <c r="N23" s="8" t="s">
        <v>43</v>
      </c>
      <c r="O23" s="8" t="s">
        <v>42</v>
      </c>
      <c r="P23" s="21" t="s">
        <v>45</v>
      </c>
      <c r="Q23" s="8" t="s">
        <v>46</v>
      </c>
      <c r="R23" s="8" t="s">
        <v>46</v>
      </c>
      <c r="S23" s="22" t="n">
        <f aca="false">INDEX(Pontos!$B$2:$F$2,MATCH(D23,Pontos!$B$1:$F$1,0))+INDEX(Pontos!$B$3:$F$3,MATCH(E23,Pontos!$B$1:$F$1,0))+INDEX(Pontos!$B$4:$F$4,MATCH(F23,Pontos!$B$1:$F$1,0))+INDEX(Pontos!$B$5:$F$5,MATCH(G23,Pontos!$B$1:$F$1,0))+INDEX(Pontos!$B$6:$F$6,MATCH(H23,Pontos!$B$1:$F$1,0))+INDEX(Pontos!$B$7:$F$7,MATCH(I23,Pontos!$B$1:$F$1,0))+INDEX(Pontos!$B$8:$F$8,MATCH(J23,Pontos!$B$1:$F$1,0))+INDEX(Pontos!$B$9:$F$9,MATCH(K23,Pontos!$B$1:$F$1,0))+INDEX(Pontos!$B$10:$F$10,MATCH(L23,Pontos!$B$1:$F$1,0))+INDEX(Pontos!$B$11:$F$11,MATCH(M23,Pontos!$B$1:$F$1,0))+INDEX(Pontos!$B$12:$F$12,MATCH(N23,Pontos!$B$1:$F$1,0))+INDEX(Pontos!$B$13:$F$13,MATCH(O23,Pontos!$B$1:$F$1,0))+INDEX(Pontos!$B$14:$F$14,MATCH(P23,Listas!$A$2:$A$6,0))+IF(Q23="Sim",4,0)+IF(R23="Sim",2,0)</f>
        <v>34</v>
      </c>
      <c r="T23" s="23" t="str">
        <f aca="false">IF(S23&gt;=45,"A",IF(S23&gt;=38,"B1",IF(S23&gt;=29,"B2",IF(S23&gt;=23,"C1",IF(S23&gt;=17,"C2","D-E")))))</f>
        <v>B2</v>
      </c>
    </row>
    <row r="24" customFormat="false" ht="21" hidden="false" customHeight="true" outlineLevel="0" collapsed="false">
      <c r="A24" s="5" t="n">
        <v>23</v>
      </c>
      <c r="B24" s="16" t="s">
        <v>20</v>
      </c>
      <c r="C24" s="5" t="s">
        <v>41</v>
      </c>
      <c r="D24" s="5" t="s">
        <v>44</v>
      </c>
      <c r="E24" s="5" t="s">
        <v>43</v>
      </c>
      <c r="F24" s="5" t="s">
        <v>42</v>
      </c>
      <c r="G24" s="5" t="s">
        <v>42</v>
      </c>
      <c r="H24" s="5" t="s">
        <v>43</v>
      </c>
      <c r="I24" s="5" t="s">
        <v>42</v>
      </c>
      <c r="J24" s="5" t="s">
        <v>43</v>
      </c>
      <c r="K24" s="5" t="s">
        <v>42</v>
      </c>
      <c r="L24" s="5" t="s">
        <v>43</v>
      </c>
      <c r="M24" s="5" t="s">
        <v>43</v>
      </c>
      <c r="N24" s="5" t="s">
        <v>43</v>
      </c>
      <c r="O24" s="5" t="s">
        <v>43</v>
      </c>
      <c r="P24" s="17" t="s">
        <v>50</v>
      </c>
      <c r="Q24" s="5" t="s">
        <v>46</v>
      </c>
      <c r="R24" s="5" t="s">
        <v>46</v>
      </c>
      <c r="S24" s="18" t="n">
        <f aca="false">INDEX(Pontos!$B$2:$F$2,MATCH(D24,Pontos!$B$1:$F$1,0))+INDEX(Pontos!$B$3:$F$3,MATCH(E24,Pontos!$B$1:$F$1,0))+INDEX(Pontos!$B$4:$F$4,MATCH(F24,Pontos!$B$1:$F$1,0))+INDEX(Pontos!$B$5:$F$5,MATCH(G24,Pontos!$B$1:$F$1,0))+INDEX(Pontos!$B$6:$F$6,MATCH(H24,Pontos!$B$1:$F$1,0))+INDEX(Pontos!$B$7:$F$7,MATCH(I24,Pontos!$B$1:$F$1,0))+INDEX(Pontos!$B$8:$F$8,MATCH(J24,Pontos!$B$1:$F$1,0))+INDEX(Pontos!$B$9:$F$9,MATCH(K24,Pontos!$B$1:$F$1,0))+INDEX(Pontos!$B$10:$F$10,MATCH(L24,Pontos!$B$1:$F$1,0))+INDEX(Pontos!$B$11:$F$11,MATCH(M24,Pontos!$B$1:$F$1,0))+INDEX(Pontos!$B$12:$F$12,MATCH(N24,Pontos!$B$1:$F$1,0))+INDEX(Pontos!$B$13:$F$13,MATCH(O24,Pontos!$B$1:$F$1,0))+INDEX(Pontos!$B$14:$F$14,MATCH(P24,Listas!$A$2:$A$6,0))+IF(Q24="Sim",4,0)+IF(R24="Sim",2,0)</f>
        <v>24</v>
      </c>
      <c r="T24" s="19" t="str">
        <f aca="false">IF(S24&gt;=45,"A",IF(S24&gt;=38,"B1",IF(S24&gt;=29,"B2",IF(S24&gt;=23,"C1",IF(S24&gt;=17,"C2","D-E")))))</f>
        <v>C1</v>
      </c>
    </row>
    <row r="25" customFormat="false" ht="21" hidden="false" customHeight="true" outlineLevel="0" collapsed="false">
      <c r="A25" s="8" t="n">
        <v>24</v>
      </c>
      <c r="B25" s="20" t="s">
        <v>21</v>
      </c>
      <c r="C25" s="8" t="s">
        <v>49</v>
      </c>
      <c r="D25" s="8" t="s">
        <v>44</v>
      </c>
      <c r="E25" s="8" t="s">
        <v>43</v>
      </c>
      <c r="F25" s="8" t="s">
        <v>42</v>
      </c>
      <c r="G25" s="8" t="s">
        <v>42</v>
      </c>
      <c r="H25" s="8" t="s">
        <v>42</v>
      </c>
      <c r="I25" s="8" t="s">
        <v>42</v>
      </c>
      <c r="J25" s="8" t="s">
        <v>42</v>
      </c>
      <c r="K25" s="8" t="s">
        <v>42</v>
      </c>
      <c r="L25" s="8" t="s">
        <v>42</v>
      </c>
      <c r="M25" s="8" t="s">
        <v>42</v>
      </c>
      <c r="N25" s="8" t="s">
        <v>43</v>
      </c>
      <c r="O25" s="8" t="s">
        <v>43</v>
      </c>
      <c r="P25" s="21" t="s">
        <v>48</v>
      </c>
      <c r="Q25" s="8" t="s">
        <v>46</v>
      </c>
      <c r="R25" s="8" t="s">
        <v>46</v>
      </c>
      <c r="S25" s="22" t="n">
        <f aca="false">INDEX(Pontos!$B$2:$F$2,MATCH(D25,Pontos!$B$1:$F$1,0))+INDEX(Pontos!$B$3:$F$3,MATCH(E25,Pontos!$B$1:$F$1,0))+INDEX(Pontos!$B$4:$F$4,MATCH(F25,Pontos!$B$1:$F$1,0))+INDEX(Pontos!$B$5:$F$5,MATCH(G25,Pontos!$B$1:$F$1,0))+INDEX(Pontos!$B$6:$F$6,MATCH(H25,Pontos!$B$1:$F$1,0))+INDEX(Pontos!$B$7:$F$7,MATCH(I25,Pontos!$B$1:$F$1,0))+INDEX(Pontos!$B$8:$F$8,MATCH(J25,Pontos!$B$1:$F$1,0))+INDEX(Pontos!$B$9:$F$9,MATCH(K25,Pontos!$B$1:$F$1,0))+INDEX(Pontos!$B$10:$F$10,MATCH(L25,Pontos!$B$1:$F$1,0))+INDEX(Pontos!$B$11:$F$11,MATCH(M25,Pontos!$B$1:$F$1,0))+INDEX(Pontos!$B$12:$F$12,MATCH(N25,Pontos!$B$1:$F$1,0))+INDEX(Pontos!$B$13:$F$13,MATCH(O25,Pontos!$B$1:$F$1,0))+INDEX(Pontos!$B$14:$F$14,MATCH(P25,Listas!$A$2:$A$6,0))+IF(Q25="Sim",4,0)+IF(R25="Sim",2,0)</f>
        <v>35</v>
      </c>
      <c r="T25" s="23" t="str">
        <f aca="false">IF(S25&gt;=45,"A",IF(S25&gt;=38,"B1",IF(S25&gt;=29,"B2",IF(S25&gt;=23,"C1",IF(S25&gt;=17,"C2","D-E")))))</f>
        <v>B2</v>
      </c>
    </row>
    <row r="26" customFormat="false" ht="21" hidden="false" customHeight="true" outlineLevel="0" collapsed="false">
      <c r="A26" s="5" t="n">
        <v>25</v>
      </c>
      <c r="B26" s="16" t="s">
        <v>21</v>
      </c>
      <c r="C26" s="5" t="s">
        <v>41</v>
      </c>
      <c r="D26" s="5" t="s">
        <v>44</v>
      </c>
      <c r="E26" s="5" t="s">
        <v>42</v>
      </c>
      <c r="F26" s="5" t="s">
        <v>42</v>
      </c>
      <c r="G26" s="5" t="s">
        <v>42</v>
      </c>
      <c r="H26" s="5" t="s">
        <v>42</v>
      </c>
      <c r="I26" s="5" t="s">
        <v>42</v>
      </c>
      <c r="J26" s="5" t="s">
        <v>42</v>
      </c>
      <c r="K26" s="5" t="s">
        <v>42</v>
      </c>
      <c r="L26" s="5" t="s">
        <v>43</v>
      </c>
      <c r="M26" s="5" t="s">
        <v>44</v>
      </c>
      <c r="N26" s="5" t="s">
        <v>43</v>
      </c>
      <c r="O26" s="5" t="s">
        <v>42</v>
      </c>
      <c r="P26" s="17" t="s">
        <v>45</v>
      </c>
      <c r="Q26" s="5" t="s">
        <v>46</v>
      </c>
      <c r="R26" s="5" t="s">
        <v>46</v>
      </c>
      <c r="S26" s="18" t="n">
        <f aca="false">INDEX(Pontos!$B$2:$F$2,MATCH(D26,Pontos!$B$1:$F$1,0))+INDEX(Pontos!$B$3:$F$3,MATCH(E26,Pontos!$B$1:$F$1,0))+INDEX(Pontos!$B$4:$F$4,MATCH(F26,Pontos!$B$1:$F$1,0))+INDEX(Pontos!$B$5:$F$5,MATCH(G26,Pontos!$B$1:$F$1,0))+INDEX(Pontos!$B$6:$F$6,MATCH(H26,Pontos!$B$1:$F$1,0))+INDEX(Pontos!$B$7:$F$7,MATCH(I26,Pontos!$B$1:$F$1,0))+INDEX(Pontos!$B$8:$F$8,MATCH(J26,Pontos!$B$1:$F$1,0))+INDEX(Pontos!$B$9:$F$9,MATCH(K26,Pontos!$B$1:$F$1,0))+INDEX(Pontos!$B$10:$F$10,MATCH(L26,Pontos!$B$1:$F$1,0))+INDEX(Pontos!$B$11:$F$11,MATCH(M26,Pontos!$B$1:$F$1,0))+INDEX(Pontos!$B$12:$F$12,MATCH(N26,Pontos!$B$1:$F$1,0))+INDEX(Pontos!$B$13:$F$13,MATCH(O26,Pontos!$B$1:$F$1,0))+INDEX(Pontos!$B$14:$F$14,MATCH(P26,Listas!$A$2:$A$6,0))+IF(Q26="Sim",4,0)+IF(R26="Sim",2,0)</f>
        <v>39</v>
      </c>
      <c r="T26" s="19" t="str">
        <f aca="false">IF(S26&gt;=45,"A",IF(S26&gt;=38,"B1",IF(S26&gt;=29,"B2",IF(S26&gt;=23,"C1",IF(S26&gt;=17,"C2","D-E")))))</f>
        <v>B1</v>
      </c>
    </row>
    <row r="27" customFormat="false" ht="21" hidden="false" customHeight="true" outlineLevel="0" collapsed="false">
      <c r="A27" s="8" t="n">
        <v>26</v>
      </c>
      <c r="B27" s="20" t="s">
        <v>20</v>
      </c>
      <c r="C27" s="8" t="s">
        <v>41</v>
      </c>
      <c r="D27" s="8" t="s">
        <v>42</v>
      </c>
      <c r="E27" s="8" t="s">
        <v>42</v>
      </c>
      <c r="F27" s="8" t="s">
        <v>42</v>
      </c>
      <c r="G27" s="8" t="s">
        <v>44</v>
      </c>
      <c r="H27" s="8" t="s">
        <v>42</v>
      </c>
      <c r="I27" s="8" t="s">
        <v>42</v>
      </c>
      <c r="J27" s="8" t="s">
        <v>42</v>
      </c>
      <c r="K27" s="8" t="s">
        <v>42</v>
      </c>
      <c r="L27" s="8" t="s">
        <v>42</v>
      </c>
      <c r="M27" s="8" t="s">
        <v>42</v>
      </c>
      <c r="N27" s="8" t="s">
        <v>43</v>
      </c>
      <c r="O27" s="8" t="s">
        <v>43</v>
      </c>
      <c r="P27" s="21" t="s">
        <v>50</v>
      </c>
      <c r="Q27" s="8" t="s">
        <v>46</v>
      </c>
      <c r="R27" s="8" t="s">
        <v>46</v>
      </c>
      <c r="S27" s="22" t="n">
        <f aca="false">INDEX(Pontos!$B$2:$F$2,MATCH(D27,Pontos!$B$1:$F$1,0))+INDEX(Pontos!$B$3:$F$3,MATCH(E27,Pontos!$B$1:$F$1,0))+INDEX(Pontos!$B$4:$F$4,MATCH(F27,Pontos!$B$1:$F$1,0))+INDEX(Pontos!$B$5:$F$5,MATCH(G27,Pontos!$B$1:$F$1,0))+INDEX(Pontos!$B$6:$F$6,MATCH(H27,Pontos!$B$1:$F$1,0))+INDEX(Pontos!$B$7:$F$7,MATCH(I27,Pontos!$B$1:$F$1,0))+INDEX(Pontos!$B$8:$F$8,MATCH(J27,Pontos!$B$1:$F$1,0))+INDEX(Pontos!$B$9:$F$9,MATCH(K27,Pontos!$B$1:$F$1,0))+INDEX(Pontos!$B$10:$F$10,MATCH(L27,Pontos!$B$1:$F$1,0))+INDEX(Pontos!$B$11:$F$11,MATCH(M27,Pontos!$B$1:$F$1,0))+INDEX(Pontos!$B$12:$F$12,MATCH(N27,Pontos!$B$1:$F$1,0))+INDEX(Pontos!$B$13:$F$13,MATCH(O27,Pontos!$B$1:$F$1,0))+INDEX(Pontos!$B$14:$F$14,MATCH(P27,Listas!$A$2:$A$6,0))+IF(Q27="Sim",4,0)+IF(R27="Sim",2,0)</f>
        <v>34</v>
      </c>
      <c r="T27" s="23" t="str">
        <f aca="false">IF(S27&gt;=45,"A",IF(S27&gt;=38,"B1",IF(S27&gt;=29,"B2",IF(S27&gt;=23,"C1",IF(S27&gt;=17,"C2","D-E")))))</f>
        <v>B2</v>
      </c>
    </row>
    <row r="28" customFormat="false" ht="21" hidden="false" customHeight="true" outlineLevel="0" collapsed="false">
      <c r="A28" s="5" t="n">
        <v>27</v>
      </c>
      <c r="B28" s="16" t="s">
        <v>20</v>
      </c>
      <c r="C28" s="5" t="s">
        <v>55</v>
      </c>
      <c r="D28" s="5" t="s">
        <v>42</v>
      </c>
      <c r="E28" s="5" t="s">
        <v>43</v>
      </c>
      <c r="F28" s="5" t="s">
        <v>42</v>
      </c>
      <c r="G28" s="5" t="s">
        <v>43</v>
      </c>
      <c r="H28" s="5" t="s">
        <v>43</v>
      </c>
      <c r="I28" s="5" t="s">
        <v>42</v>
      </c>
      <c r="J28" s="5" t="s">
        <v>43</v>
      </c>
      <c r="K28" s="5" t="s">
        <v>42</v>
      </c>
      <c r="L28" s="5" t="s">
        <v>43</v>
      </c>
      <c r="M28" s="5" t="s">
        <v>42</v>
      </c>
      <c r="N28" s="5" t="s">
        <v>42</v>
      </c>
      <c r="O28" s="5" t="s">
        <v>43</v>
      </c>
      <c r="P28" s="17" t="s">
        <v>50</v>
      </c>
      <c r="Q28" s="5" t="s">
        <v>46</v>
      </c>
      <c r="R28" s="5" t="s">
        <v>46</v>
      </c>
      <c r="S28" s="18" t="n">
        <f aca="false">INDEX(Pontos!$B$2:$F$2,MATCH(D28,Pontos!$B$1:$F$1,0))+INDEX(Pontos!$B$3:$F$3,MATCH(E28,Pontos!$B$1:$F$1,0))+INDEX(Pontos!$B$4:$F$4,MATCH(F28,Pontos!$B$1:$F$1,0))+INDEX(Pontos!$B$5:$F$5,MATCH(G28,Pontos!$B$1:$F$1,0))+INDEX(Pontos!$B$6:$F$6,MATCH(H28,Pontos!$B$1:$F$1,0))+INDEX(Pontos!$B$7:$F$7,MATCH(I28,Pontos!$B$1:$F$1,0))+INDEX(Pontos!$B$8:$F$8,MATCH(J28,Pontos!$B$1:$F$1,0))+INDEX(Pontos!$B$9:$F$9,MATCH(K28,Pontos!$B$1:$F$1,0))+INDEX(Pontos!$B$10:$F$10,MATCH(L28,Pontos!$B$1:$F$1,0))+INDEX(Pontos!$B$11:$F$11,MATCH(M28,Pontos!$B$1:$F$1,0))+INDEX(Pontos!$B$12:$F$12,MATCH(N28,Pontos!$B$1:$F$1,0))+INDEX(Pontos!$B$13:$F$13,MATCH(O28,Pontos!$B$1:$F$1,0))+INDEX(Pontos!$B$14:$F$14,MATCH(P28,Listas!$A$2:$A$6,0))+IF(Q28="Sim",4,0)+IF(R28="Sim",2,0)</f>
        <v>20</v>
      </c>
      <c r="T28" s="19" t="str">
        <f aca="false">IF(S28&gt;=45,"A",IF(S28&gt;=38,"B1",IF(S28&gt;=29,"B2",IF(S28&gt;=23,"C1",IF(S28&gt;=17,"C2","D-E")))))</f>
        <v>C2</v>
      </c>
    </row>
    <row r="29" customFormat="false" ht="21" hidden="false" customHeight="true" outlineLevel="0" collapsed="false">
      <c r="A29" s="8" t="n">
        <v>28</v>
      </c>
      <c r="B29" s="20" t="s">
        <v>20</v>
      </c>
      <c r="C29" s="8" t="s">
        <v>54</v>
      </c>
      <c r="D29" s="8" t="s">
        <v>44</v>
      </c>
      <c r="E29" s="8" t="s">
        <v>42</v>
      </c>
      <c r="F29" s="8" t="s">
        <v>44</v>
      </c>
      <c r="G29" s="8" t="s">
        <v>44</v>
      </c>
      <c r="H29" s="8" t="s">
        <v>42</v>
      </c>
      <c r="I29" s="8" t="s">
        <v>42</v>
      </c>
      <c r="J29" s="8" t="s">
        <v>42</v>
      </c>
      <c r="K29" s="8" t="s">
        <v>42</v>
      </c>
      <c r="L29" s="8" t="s">
        <v>43</v>
      </c>
      <c r="M29" s="8" t="s">
        <v>42</v>
      </c>
      <c r="N29" s="8" t="s">
        <v>43</v>
      </c>
      <c r="O29" s="8" t="s">
        <v>43</v>
      </c>
      <c r="P29" s="21" t="s">
        <v>48</v>
      </c>
      <c r="Q29" s="8" t="s">
        <v>46</v>
      </c>
      <c r="R29" s="8" t="s">
        <v>56</v>
      </c>
      <c r="S29" s="22" t="n">
        <f aca="false">INDEX(Pontos!$B$2:$F$2,MATCH(D29,Pontos!$B$1:$F$1,0))+INDEX(Pontos!$B$3:$F$3,MATCH(E29,Pontos!$B$1:$F$1,0))+INDEX(Pontos!$B$4:$F$4,MATCH(F29,Pontos!$B$1:$F$1,0))+INDEX(Pontos!$B$5:$F$5,MATCH(G29,Pontos!$B$1:$F$1,0))+INDEX(Pontos!$B$6:$F$6,MATCH(H29,Pontos!$B$1:$F$1,0))+INDEX(Pontos!$B$7:$F$7,MATCH(I29,Pontos!$B$1:$F$1,0))+INDEX(Pontos!$B$8:$F$8,MATCH(J29,Pontos!$B$1:$F$1,0))+INDEX(Pontos!$B$9:$F$9,MATCH(K29,Pontos!$B$1:$F$1,0))+INDEX(Pontos!$B$10:$F$10,MATCH(L29,Pontos!$B$1:$F$1,0))+INDEX(Pontos!$B$11:$F$11,MATCH(M29,Pontos!$B$1:$F$1,0))+INDEX(Pontos!$B$12:$F$12,MATCH(N29,Pontos!$B$1:$F$1,0))+INDEX(Pontos!$B$13:$F$13,MATCH(O29,Pontos!$B$1:$F$1,0))+INDEX(Pontos!$B$14:$F$14,MATCH(P29,Listas!$A$2:$A$6,0))+IF(Q29="Sim",4,0)+IF(R29="Sim",2,0)</f>
        <v>40</v>
      </c>
      <c r="T29" s="23" t="str">
        <f aca="false">IF(S29&gt;=45,"A",IF(S29&gt;=38,"B1",IF(S29&gt;=29,"B2",IF(S29&gt;=23,"C1",IF(S29&gt;=17,"C2","D-E")))))</f>
        <v>B1</v>
      </c>
    </row>
    <row r="30" customFormat="false" ht="21" hidden="false" customHeight="true" outlineLevel="0" collapsed="false">
      <c r="A30" s="5" t="n">
        <v>29</v>
      </c>
      <c r="B30" s="16" t="s">
        <v>21</v>
      </c>
      <c r="C30" s="5" t="s">
        <v>41</v>
      </c>
      <c r="D30" s="5" t="s">
        <v>42</v>
      </c>
      <c r="E30" s="5" t="s">
        <v>43</v>
      </c>
      <c r="F30" s="5" t="s">
        <v>42</v>
      </c>
      <c r="G30" s="5" t="s">
        <v>42</v>
      </c>
      <c r="H30" s="5" t="s">
        <v>43</v>
      </c>
      <c r="I30" s="5" t="s">
        <v>42</v>
      </c>
      <c r="J30" s="5" t="s">
        <v>42</v>
      </c>
      <c r="K30" s="5" t="s">
        <v>42</v>
      </c>
      <c r="L30" s="5" t="s">
        <v>42</v>
      </c>
      <c r="M30" s="5" t="s">
        <v>42</v>
      </c>
      <c r="N30" s="5" t="s">
        <v>42</v>
      </c>
      <c r="O30" s="5" t="s">
        <v>42</v>
      </c>
      <c r="P30" s="17" t="s">
        <v>50</v>
      </c>
      <c r="Q30" s="5" t="s">
        <v>46</v>
      </c>
      <c r="R30" s="5" t="s">
        <v>56</v>
      </c>
      <c r="S30" s="18" t="n">
        <f aca="false">INDEX(Pontos!$B$2:$F$2,MATCH(D30,Pontos!$B$1:$F$1,0))+INDEX(Pontos!$B$3:$F$3,MATCH(E30,Pontos!$B$1:$F$1,0))+INDEX(Pontos!$B$4:$F$4,MATCH(F30,Pontos!$B$1:$F$1,0))+INDEX(Pontos!$B$5:$F$5,MATCH(G30,Pontos!$B$1:$F$1,0))+INDEX(Pontos!$B$6:$F$6,MATCH(H30,Pontos!$B$1:$F$1,0))+INDEX(Pontos!$B$7:$F$7,MATCH(I30,Pontos!$B$1:$F$1,0))+INDEX(Pontos!$B$8:$F$8,MATCH(J30,Pontos!$B$1:$F$1,0))+INDEX(Pontos!$B$9:$F$9,MATCH(K30,Pontos!$B$1:$F$1,0))+INDEX(Pontos!$B$10:$F$10,MATCH(L30,Pontos!$B$1:$F$1,0))+INDEX(Pontos!$B$11:$F$11,MATCH(M30,Pontos!$B$1:$F$1,0))+INDEX(Pontos!$B$12:$F$12,MATCH(N30,Pontos!$B$1:$F$1,0))+INDEX(Pontos!$B$13:$F$13,MATCH(O30,Pontos!$B$1:$F$1,0))+INDEX(Pontos!$B$14:$F$14,MATCH(P30,Listas!$A$2:$A$6,0))+IF(Q30="Sim",4,0)+IF(R30="Sim",2,0)</f>
        <v>26</v>
      </c>
      <c r="T30" s="19" t="str">
        <f aca="false">IF(S30&gt;=45,"A",IF(S30&gt;=38,"B1",IF(S30&gt;=29,"B2",IF(S30&gt;=23,"C1",IF(S30&gt;=17,"C2","D-E")))))</f>
        <v>C1</v>
      </c>
    </row>
    <row r="31" customFormat="false" ht="21" hidden="false" customHeight="true" outlineLevel="0" collapsed="false">
      <c r="A31" s="8" t="n">
        <v>30</v>
      </c>
      <c r="B31" s="20" t="s">
        <v>20</v>
      </c>
      <c r="C31" s="8" t="s">
        <v>47</v>
      </c>
      <c r="D31" s="8" t="s">
        <v>44</v>
      </c>
      <c r="E31" s="8" t="s">
        <v>42</v>
      </c>
      <c r="F31" s="8" t="s">
        <v>44</v>
      </c>
      <c r="G31" s="8" t="s">
        <v>44</v>
      </c>
      <c r="H31" s="8" t="s">
        <v>42</v>
      </c>
      <c r="I31" s="8" t="s">
        <v>42</v>
      </c>
      <c r="J31" s="8" t="s">
        <v>43</v>
      </c>
      <c r="K31" s="8" t="s">
        <v>42</v>
      </c>
      <c r="L31" s="8" t="s">
        <v>42</v>
      </c>
      <c r="M31" s="8" t="s">
        <v>42</v>
      </c>
      <c r="N31" s="8" t="s">
        <v>43</v>
      </c>
      <c r="O31" s="8" t="s">
        <v>43</v>
      </c>
      <c r="P31" s="21" t="s">
        <v>45</v>
      </c>
      <c r="Q31" s="8" t="s">
        <v>46</v>
      </c>
      <c r="R31" s="8" t="s">
        <v>46</v>
      </c>
      <c r="S31" s="22" t="n">
        <f aca="false">INDEX(Pontos!$B$2:$F$2,MATCH(D31,Pontos!$B$1:$F$1,0))+INDEX(Pontos!$B$3:$F$3,MATCH(E31,Pontos!$B$1:$F$1,0))+INDEX(Pontos!$B$4:$F$4,MATCH(F31,Pontos!$B$1:$F$1,0))+INDEX(Pontos!$B$5:$F$5,MATCH(G31,Pontos!$B$1:$F$1,0))+INDEX(Pontos!$B$6:$F$6,MATCH(H31,Pontos!$B$1:$F$1,0))+INDEX(Pontos!$B$7:$F$7,MATCH(I31,Pontos!$B$1:$F$1,0))+INDEX(Pontos!$B$8:$F$8,MATCH(J31,Pontos!$B$1:$F$1,0))+INDEX(Pontos!$B$9:$F$9,MATCH(K31,Pontos!$B$1:$F$1,0))+INDEX(Pontos!$B$10:$F$10,MATCH(L31,Pontos!$B$1:$F$1,0))+INDEX(Pontos!$B$11:$F$11,MATCH(M31,Pontos!$B$1:$F$1,0))+INDEX(Pontos!$B$12:$F$12,MATCH(N31,Pontos!$B$1:$F$1,0))+INDEX(Pontos!$B$13:$F$13,MATCH(O31,Pontos!$B$1:$F$1,0))+INDEX(Pontos!$B$14:$F$14,MATCH(P31,Listas!$A$2:$A$6,0))+IF(Q31="Sim",4,0)+IF(R31="Sim",2,0)</f>
        <v>39</v>
      </c>
      <c r="T31" s="23" t="str">
        <f aca="false">IF(S31&gt;=45,"A",IF(S31&gt;=38,"B1",IF(S31&gt;=29,"B2",IF(S31&gt;=23,"C1",IF(S31&gt;=17,"C2","D-E")))))</f>
        <v>B1</v>
      </c>
    </row>
    <row r="32" customFormat="false" ht="21" hidden="false" customHeight="true" outlineLevel="0" collapsed="false">
      <c r="A32" s="5" t="n">
        <v>31</v>
      </c>
      <c r="B32" s="16" t="s">
        <v>21</v>
      </c>
      <c r="C32" s="5" t="s">
        <v>49</v>
      </c>
      <c r="D32" s="5" t="s">
        <v>44</v>
      </c>
      <c r="E32" s="5" t="s">
        <v>43</v>
      </c>
      <c r="F32" s="5" t="s">
        <v>42</v>
      </c>
      <c r="G32" s="5" t="s">
        <v>42</v>
      </c>
      <c r="H32" s="5" t="s">
        <v>42</v>
      </c>
      <c r="I32" s="5" t="s">
        <v>42</v>
      </c>
      <c r="J32" s="5" t="s">
        <v>42</v>
      </c>
      <c r="K32" s="5" t="s">
        <v>42</v>
      </c>
      <c r="L32" s="5" t="s">
        <v>42</v>
      </c>
      <c r="M32" s="5" t="s">
        <v>44</v>
      </c>
      <c r="N32" s="5" t="s">
        <v>43</v>
      </c>
      <c r="O32" s="5" t="s">
        <v>42</v>
      </c>
      <c r="P32" s="17" t="s">
        <v>48</v>
      </c>
      <c r="Q32" s="5" t="s">
        <v>46</v>
      </c>
      <c r="R32" s="5" t="s">
        <v>46</v>
      </c>
      <c r="S32" s="18" t="n">
        <f aca="false">INDEX(Pontos!$B$2:$F$2,MATCH(D32,Pontos!$B$1:$F$1,0))+INDEX(Pontos!$B$3:$F$3,MATCH(E32,Pontos!$B$1:$F$1,0))+INDEX(Pontos!$B$4:$F$4,MATCH(F32,Pontos!$B$1:$F$1,0))+INDEX(Pontos!$B$5:$F$5,MATCH(G32,Pontos!$B$1:$F$1,0))+INDEX(Pontos!$B$6:$F$6,MATCH(H32,Pontos!$B$1:$F$1,0))+INDEX(Pontos!$B$7:$F$7,MATCH(I32,Pontos!$B$1:$F$1,0))+INDEX(Pontos!$B$8:$F$8,MATCH(J32,Pontos!$B$1:$F$1,0))+INDEX(Pontos!$B$9:$F$9,MATCH(K32,Pontos!$B$1:$F$1,0))+INDEX(Pontos!$B$10:$F$10,MATCH(L32,Pontos!$B$1:$F$1,0))+INDEX(Pontos!$B$11:$F$11,MATCH(M32,Pontos!$B$1:$F$1,0))+INDEX(Pontos!$B$12:$F$12,MATCH(N32,Pontos!$B$1:$F$1,0))+INDEX(Pontos!$B$13:$F$13,MATCH(O32,Pontos!$B$1:$F$1,0))+INDEX(Pontos!$B$14:$F$14,MATCH(P32,Listas!$A$2:$A$6,0))+IF(Q32="Sim",4,0)+IF(R32="Sim",2,0)</f>
        <v>39</v>
      </c>
      <c r="T32" s="19" t="str">
        <f aca="false">IF(S32&gt;=45,"A",IF(S32&gt;=38,"B1",IF(S32&gt;=29,"B2",IF(S32&gt;=23,"C1",IF(S32&gt;=17,"C2","D-E")))))</f>
        <v>B1</v>
      </c>
    </row>
    <row r="33" customFormat="false" ht="21" hidden="false" customHeight="true" outlineLevel="0" collapsed="false">
      <c r="A33" s="8" t="n">
        <v>32</v>
      </c>
      <c r="B33" s="20" t="s">
        <v>21</v>
      </c>
      <c r="C33" s="8" t="s">
        <v>49</v>
      </c>
      <c r="D33" s="8" t="s">
        <v>42</v>
      </c>
      <c r="E33" s="8" t="s">
        <v>42</v>
      </c>
      <c r="F33" s="8" t="s">
        <v>42</v>
      </c>
      <c r="G33" s="8" t="s">
        <v>44</v>
      </c>
      <c r="H33" s="8" t="s">
        <v>42</v>
      </c>
      <c r="I33" s="8" t="s">
        <v>44</v>
      </c>
      <c r="J33" s="8" t="s">
        <v>42</v>
      </c>
      <c r="K33" s="8" t="s">
        <v>42</v>
      </c>
      <c r="L33" s="8" t="s">
        <v>42</v>
      </c>
      <c r="M33" s="8" t="s">
        <v>42</v>
      </c>
      <c r="N33" s="8" t="s">
        <v>43</v>
      </c>
      <c r="O33" s="8" t="s">
        <v>42</v>
      </c>
      <c r="P33" s="21" t="s">
        <v>48</v>
      </c>
      <c r="Q33" s="8" t="s">
        <v>46</v>
      </c>
      <c r="R33" s="8" t="s">
        <v>46</v>
      </c>
      <c r="S33" s="22" t="n">
        <f aca="false">INDEX(Pontos!$B$2:$F$2,MATCH(D33,Pontos!$B$1:$F$1,0))+INDEX(Pontos!$B$3:$F$3,MATCH(E33,Pontos!$B$1:$F$1,0))+INDEX(Pontos!$B$4:$F$4,MATCH(F33,Pontos!$B$1:$F$1,0))+INDEX(Pontos!$B$5:$F$5,MATCH(G33,Pontos!$B$1:$F$1,0))+INDEX(Pontos!$B$6:$F$6,MATCH(H33,Pontos!$B$1:$F$1,0))+INDEX(Pontos!$B$7:$F$7,MATCH(I33,Pontos!$B$1:$F$1,0))+INDEX(Pontos!$B$8:$F$8,MATCH(J33,Pontos!$B$1:$F$1,0))+INDEX(Pontos!$B$9:$F$9,MATCH(K33,Pontos!$B$1:$F$1,0))+INDEX(Pontos!$B$10:$F$10,MATCH(L33,Pontos!$B$1:$F$1,0))+INDEX(Pontos!$B$11:$F$11,MATCH(M33,Pontos!$B$1:$F$1,0))+INDEX(Pontos!$B$12:$F$12,MATCH(N33,Pontos!$B$1:$F$1,0))+INDEX(Pontos!$B$13:$F$13,MATCH(O33,Pontos!$B$1:$F$1,0))+INDEX(Pontos!$B$14:$F$14,MATCH(P33,Listas!$A$2:$A$6,0))+IF(Q33="Sim",4,0)+IF(R33="Sim",2,0)</f>
        <v>40</v>
      </c>
      <c r="T33" s="23" t="str">
        <f aca="false">IF(S33&gt;=45,"A",IF(S33&gt;=38,"B1",IF(S33&gt;=29,"B2",IF(S33&gt;=23,"C1",IF(S33&gt;=17,"C2","D-E")))))</f>
        <v>B1</v>
      </c>
    </row>
    <row r="34" customFormat="false" ht="21" hidden="false" customHeight="true" outlineLevel="0" collapsed="false">
      <c r="A34" s="5" t="n">
        <v>33</v>
      </c>
      <c r="B34" s="16" t="s">
        <v>21</v>
      </c>
      <c r="C34" s="5" t="s">
        <v>41</v>
      </c>
      <c r="D34" s="5" t="s">
        <v>44</v>
      </c>
      <c r="E34" s="5" t="s">
        <v>43</v>
      </c>
      <c r="F34" s="5" t="s">
        <v>42</v>
      </c>
      <c r="G34" s="5" t="s">
        <v>42</v>
      </c>
      <c r="H34" s="5" t="s">
        <v>43</v>
      </c>
      <c r="I34" s="5" t="s">
        <v>42</v>
      </c>
      <c r="J34" s="5" t="s">
        <v>43</v>
      </c>
      <c r="K34" s="5" t="s">
        <v>42</v>
      </c>
      <c r="L34" s="5" t="s">
        <v>43</v>
      </c>
      <c r="M34" s="5" t="s">
        <v>42</v>
      </c>
      <c r="N34" s="5" t="s">
        <v>43</v>
      </c>
      <c r="O34" s="5" t="s">
        <v>43</v>
      </c>
      <c r="P34" s="17" t="s">
        <v>45</v>
      </c>
      <c r="Q34" s="5" t="s">
        <v>46</v>
      </c>
      <c r="R34" s="5" t="s">
        <v>46</v>
      </c>
      <c r="S34" s="18" t="n">
        <f aca="false">INDEX(Pontos!$B$2:$F$2,MATCH(D34,Pontos!$B$1:$F$1,0))+INDEX(Pontos!$B$3:$F$3,MATCH(E34,Pontos!$B$1:$F$1,0))+INDEX(Pontos!$B$4:$F$4,MATCH(F34,Pontos!$B$1:$F$1,0))+INDEX(Pontos!$B$5:$F$5,MATCH(G34,Pontos!$B$1:$F$1,0))+INDEX(Pontos!$B$6:$F$6,MATCH(H34,Pontos!$B$1:$F$1,0))+INDEX(Pontos!$B$7:$F$7,MATCH(I34,Pontos!$B$1:$F$1,0))+INDEX(Pontos!$B$8:$F$8,MATCH(J34,Pontos!$B$1:$F$1,0))+INDEX(Pontos!$B$9:$F$9,MATCH(K34,Pontos!$B$1:$F$1,0))+INDEX(Pontos!$B$10:$F$10,MATCH(L34,Pontos!$B$1:$F$1,0))+INDEX(Pontos!$B$11:$F$11,MATCH(M34,Pontos!$B$1:$F$1,0))+INDEX(Pontos!$B$12:$F$12,MATCH(N34,Pontos!$B$1:$F$1,0))+INDEX(Pontos!$B$13:$F$13,MATCH(O34,Pontos!$B$1:$F$1,0))+INDEX(Pontos!$B$14:$F$14,MATCH(P34,Listas!$A$2:$A$6,0))+IF(Q34="Sim",4,0)+IF(R34="Sim",2,0)</f>
        <v>27</v>
      </c>
      <c r="T34" s="19" t="str">
        <f aca="false">IF(S34&gt;=45,"A",IF(S34&gt;=38,"B1",IF(S34&gt;=29,"B2",IF(S34&gt;=23,"C1",IF(S34&gt;=17,"C2","D-E")))))</f>
        <v>C1</v>
      </c>
    </row>
    <row r="35" customFormat="false" ht="21" hidden="false" customHeight="true" outlineLevel="0" collapsed="false">
      <c r="A35" s="8" t="n">
        <v>34</v>
      </c>
      <c r="B35" s="20" t="s">
        <v>20</v>
      </c>
      <c r="C35" s="8" t="s">
        <v>41</v>
      </c>
      <c r="D35" s="8" t="s">
        <v>44</v>
      </c>
      <c r="E35" s="8" t="s">
        <v>43</v>
      </c>
      <c r="F35" s="8" t="s">
        <v>42</v>
      </c>
      <c r="G35" s="8" t="s">
        <v>42</v>
      </c>
      <c r="H35" s="8" t="s">
        <v>42</v>
      </c>
      <c r="I35" s="8" t="s">
        <v>42</v>
      </c>
      <c r="J35" s="8" t="s">
        <v>42</v>
      </c>
      <c r="K35" s="8" t="s">
        <v>42</v>
      </c>
      <c r="L35" s="8" t="s">
        <v>43</v>
      </c>
      <c r="M35" s="8" t="s">
        <v>42</v>
      </c>
      <c r="N35" s="8" t="s">
        <v>43</v>
      </c>
      <c r="O35" s="8" t="s">
        <v>42</v>
      </c>
      <c r="P35" s="21" t="s">
        <v>45</v>
      </c>
      <c r="Q35" s="8" t="s">
        <v>46</v>
      </c>
      <c r="R35" s="8" t="s">
        <v>46</v>
      </c>
      <c r="S35" s="22" t="n">
        <f aca="false">INDEX(Pontos!$B$2:$F$2,MATCH(D35,Pontos!$B$1:$F$1,0))+INDEX(Pontos!$B$3:$F$3,MATCH(E35,Pontos!$B$1:$F$1,0))+INDEX(Pontos!$B$4:$F$4,MATCH(F35,Pontos!$B$1:$F$1,0))+INDEX(Pontos!$B$5:$F$5,MATCH(G35,Pontos!$B$1:$F$1,0))+INDEX(Pontos!$B$6:$F$6,MATCH(H35,Pontos!$B$1:$F$1,0))+INDEX(Pontos!$B$7:$F$7,MATCH(I35,Pontos!$B$1:$F$1,0))+INDEX(Pontos!$B$8:$F$8,MATCH(J35,Pontos!$B$1:$F$1,0))+INDEX(Pontos!$B$9:$F$9,MATCH(K35,Pontos!$B$1:$F$1,0))+INDEX(Pontos!$B$10:$F$10,MATCH(L35,Pontos!$B$1:$F$1,0))+INDEX(Pontos!$B$11:$F$11,MATCH(M35,Pontos!$B$1:$F$1,0))+INDEX(Pontos!$B$12:$F$12,MATCH(N35,Pontos!$B$1:$F$1,0))+INDEX(Pontos!$B$13:$F$13,MATCH(O35,Pontos!$B$1:$F$1,0))+INDEX(Pontos!$B$14:$F$14,MATCH(P35,Listas!$A$2:$A$6,0))+IF(Q35="Sim",4,0)+IF(R35="Sim",2,0)</f>
        <v>34</v>
      </c>
      <c r="T35" s="23" t="str">
        <f aca="false">IF(S35&gt;=45,"A",IF(S35&gt;=38,"B1",IF(S35&gt;=29,"B2",IF(S35&gt;=23,"C1",IF(S35&gt;=17,"C2","D-E")))))</f>
        <v>B2</v>
      </c>
    </row>
    <row r="36" customFormat="false" ht="21" hidden="false" customHeight="true" outlineLevel="0" collapsed="false">
      <c r="A36" s="5" t="n">
        <v>35</v>
      </c>
      <c r="B36" s="16" t="s">
        <v>21</v>
      </c>
      <c r="C36" s="5" t="s">
        <v>51</v>
      </c>
      <c r="D36" s="5" t="s">
        <v>44</v>
      </c>
      <c r="E36" s="5" t="s">
        <v>42</v>
      </c>
      <c r="F36" s="5" t="s">
        <v>42</v>
      </c>
      <c r="G36" s="5" t="s">
        <v>52</v>
      </c>
      <c r="H36" s="5" t="s">
        <v>42</v>
      </c>
      <c r="I36" s="5" t="s">
        <v>42</v>
      </c>
      <c r="J36" s="5" t="s">
        <v>42</v>
      </c>
      <c r="K36" s="5" t="s">
        <v>44</v>
      </c>
      <c r="L36" s="5" t="s">
        <v>42</v>
      </c>
      <c r="M36" s="5" t="s">
        <v>44</v>
      </c>
      <c r="N36" s="5" t="s">
        <v>43</v>
      </c>
      <c r="O36" s="5" t="s">
        <v>42</v>
      </c>
      <c r="P36" s="17" t="s">
        <v>53</v>
      </c>
      <c r="Q36" s="5" t="s">
        <v>46</v>
      </c>
      <c r="R36" s="5" t="s">
        <v>56</v>
      </c>
      <c r="S36" s="18" t="n">
        <f aca="false">INDEX(Pontos!$B$2:$F$2,MATCH(D36,Pontos!$B$1:$F$1,0))+INDEX(Pontos!$B$3:$F$3,MATCH(E36,Pontos!$B$1:$F$1,0))+INDEX(Pontos!$B$4:$F$4,MATCH(F36,Pontos!$B$1:$F$1,0))+INDEX(Pontos!$B$5:$F$5,MATCH(G36,Pontos!$B$1:$F$1,0))+INDEX(Pontos!$B$6:$F$6,MATCH(H36,Pontos!$B$1:$F$1,0))+INDEX(Pontos!$B$7:$F$7,MATCH(I36,Pontos!$B$1:$F$1,0))+INDEX(Pontos!$B$8:$F$8,MATCH(J36,Pontos!$B$1:$F$1,0))+INDEX(Pontos!$B$9:$F$9,MATCH(K36,Pontos!$B$1:$F$1,0))+INDEX(Pontos!$B$10:$F$10,MATCH(L36,Pontos!$B$1:$F$1,0))+INDEX(Pontos!$B$11:$F$11,MATCH(M36,Pontos!$B$1:$F$1,0))+INDEX(Pontos!$B$12:$F$12,MATCH(N36,Pontos!$B$1:$F$1,0))+INDEX(Pontos!$B$13:$F$13,MATCH(O36,Pontos!$B$1:$F$1,0))+INDEX(Pontos!$B$14:$F$14,MATCH(P36,Listas!$A$2:$A$6,0))+IF(Q36="Sim",4,0)+IF(R36="Sim",2,0)</f>
        <v>50</v>
      </c>
      <c r="T36" s="19" t="str">
        <f aca="false">IF(S36&gt;=45,"A",IF(S36&gt;=38,"B1",IF(S36&gt;=29,"B2",IF(S36&gt;=23,"C1",IF(S36&gt;=17,"C2","D-E")))))</f>
        <v>A</v>
      </c>
    </row>
    <row r="37" customFormat="false" ht="21" hidden="false" customHeight="true" outlineLevel="0" collapsed="false">
      <c r="A37" s="8" t="n">
        <v>36</v>
      </c>
      <c r="B37" s="20" t="s">
        <v>20</v>
      </c>
      <c r="C37" s="8" t="s">
        <v>49</v>
      </c>
      <c r="D37" s="8" t="s">
        <v>44</v>
      </c>
      <c r="E37" s="8" t="s">
        <v>43</v>
      </c>
      <c r="F37" s="8" t="s">
        <v>42</v>
      </c>
      <c r="G37" s="8" t="s">
        <v>44</v>
      </c>
      <c r="H37" s="8" t="s">
        <v>42</v>
      </c>
      <c r="I37" s="8" t="s">
        <v>42</v>
      </c>
      <c r="J37" s="8" t="s">
        <v>44</v>
      </c>
      <c r="K37" s="8" t="s">
        <v>42</v>
      </c>
      <c r="L37" s="8" t="s">
        <v>42</v>
      </c>
      <c r="M37" s="8" t="s">
        <v>42</v>
      </c>
      <c r="N37" s="8" t="s">
        <v>43</v>
      </c>
      <c r="O37" s="8" t="s">
        <v>43</v>
      </c>
      <c r="P37" s="21" t="s">
        <v>45</v>
      </c>
      <c r="Q37" s="8" t="s">
        <v>46</v>
      </c>
      <c r="R37" s="8" t="s">
        <v>46</v>
      </c>
      <c r="S37" s="22" t="n">
        <f aca="false">INDEX(Pontos!$B$2:$F$2,MATCH(D37,Pontos!$B$1:$F$1,0))+INDEX(Pontos!$B$3:$F$3,MATCH(E37,Pontos!$B$1:$F$1,0))+INDEX(Pontos!$B$4:$F$4,MATCH(F37,Pontos!$B$1:$F$1,0))+INDEX(Pontos!$B$5:$F$5,MATCH(G37,Pontos!$B$1:$F$1,0))+INDEX(Pontos!$B$6:$F$6,MATCH(H37,Pontos!$B$1:$F$1,0))+INDEX(Pontos!$B$7:$F$7,MATCH(I37,Pontos!$B$1:$F$1,0))+INDEX(Pontos!$B$8:$F$8,MATCH(J37,Pontos!$B$1:$F$1,0))+INDEX(Pontos!$B$9:$F$9,MATCH(K37,Pontos!$B$1:$F$1,0))+INDEX(Pontos!$B$10:$F$10,MATCH(L37,Pontos!$B$1:$F$1,0))+INDEX(Pontos!$B$11:$F$11,MATCH(M37,Pontos!$B$1:$F$1,0))+INDEX(Pontos!$B$12:$F$12,MATCH(N37,Pontos!$B$1:$F$1,0))+INDEX(Pontos!$B$13:$F$13,MATCH(O37,Pontos!$B$1:$F$1,0))+INDEX(Pontos!$B$14:$F$14,MATCH(P37,Listas!$A$2:$A$6,0))+IF(Q37="Sim",4,0)+IF(R37="Sim",2,0)</f>
        <v>38</v>
      </c>
      <c r="T37" s="23" t="str">
        <f aca="false">IF(S37&gt;=45,"A",IF(S37&gt;=38,"B1",IF(S37&gt;=29,"B2",IF(S37&gt;=23,"C1",IF(S37&gt;=17,"C2","D-E")))))</f>
        <v>B1</v>
      </c>
    </row>
    <row r="38" customFormat="false" ht="21" hidden="false" customHeight="true" outlineLevel="0" collapsed="false">
      <c r="A38" s="5" t="n">
        <v>37</v>
      </c>
      <c r="B38" s="16" t="s">
        <v>20</v>
      </c>
      <c r="C38" s="5" t="s">
        <v>41</v>
      </c>
      <c r="D38" s="5" t="s">
        <v>44</v>
      </c>
      <c r="E38" s="5" t="s">
        <v>42</v>
      </c>
      <c r="F38" s="5" t="s">
        <v>42</v>
      </c>
      <c r="G38" s="5" t="s">
        <v>42</v>
      </c>
      <c r="H38" s="5" t="s">
        <v>43</v>
      </c>
      <c r="I38" s="5" t="s">
        <v>42</v>
      </c>
      <c r="J38" s="5" t="s">
        <v>43</v>
      </c>
      <c r="K38" s="5" t="s">
        <v>42</v>
      </c>
      <c r="L38" s="5" t="s">
        <v>43</v>
      </c>
      <c r="M38" s="5" t="s">
        <v>42</v>
      </c>
      <c r="N38" s="5" t="s">
        <v>43</v>
      </c>
      <c r="O38" s="5" t="s">
        <v>43</v>
      </c>
      <c r="P38" s="17" t="s">
        <v>50</v>
      </c>
      <c r="Q38" s="5" t="s">
        <v>46</v>
      </c>
      <c r="R38" s="5" t="s">
        <v>56</v>
      </c>
      <c r="S38" s="18" t="n">
        <f aca="false">INDEX(Pontos!$B$2:$F$2,MATCH(D38,Pontos!$B$1:$F$1,0))+INDEX(Pontos!$B$3:$F$3,MATCH(E38,Pontos!$B$1:$F$1,0))+INDEX(Pontos!$B$4:$F$4,MATCH(F38,Pontos!$B$1:$F$1,0))+INDEX(Pontos!$B$5:$F$5,MATCH(G38,Pontos!$B$1:$F$1,0))+INDEX(Pontos!$B$6:$F$6,MATCH(H38,Pontos!$B$1:$F$1,0))+INDEX(Pontos!$B$7:$F$7,MATCH(I38,Pontos!$B$1:$F$1,0))+INDEX(Pontos!$B$8:$F$8,MATCH(J38,Pontos!$B$1:$F$1,0))+INDEX(Pontos!$B$9:$F$9,MATCH(K38,Pontos!$B$1:$F$1,0))+INDEX(Pontos!$B$10:$F$10,MATCH(L38,Pontos!$B$1:$F$1,0))+INDEX(Pontos!$B$11:$F$11,MATCH(M38,Pontos!$B$1:$F$1,0))+INDEX(Pontos!$B$12:$F$12,MATCH(N38,Pontos!$B$1:$F$1,0))+INDEX(Pontos!$B$13:$F$13,MATCH(O38,Pontos!$B$1:$F$1,0))+INDEX(Pontos!$B$14:$F$14,MATCH(P38,Listas!$A$2:$A$6,0))+IF(Q38="Sim",4,0)+IF(R38="Sim",2,0)</f>
        <v>27</v>
      </c>
      <c r="T38" s="19" t="str">
        <f aca="false">IF(S38&gt;=45,"A",IF(S38&gt;=38,"B1",IF(S38&gt;=29,"B2",IF(S38&gt;=23,"C1",IF(S38&gt;=17,"C2","D-E")))))</f>
        <v>C1</v>
      </c>
    </row>
    <row r="39" customFormat="false" ht="21" hidden="false" customHeight="true" outlineLevel="0" collapsed="false">
      <c r="A39" s="8" t="n">
        <v>38</v>
      </c>
      <c r="B39" s="20" t="s">
        <v>21</v>
      </c>
      <c r="C39" s="8" t="s">
        <v>54</v>
      </c>
      <c r="D39" s="8" t="s">
        <v>52</v>
      </c>
      <c r="E39" s="8" t="s">
        <v>43</v>
      </c>
      <c r="F39" s="8" t="s">
        <v>44</v>
      </c>
      <c r="G39" s="8" t="s">
        <v>44</v>
      </c>
      <c r="H39" s="8" t="s">
        <v>42</v>
      </c>
      <c r="I39" s="8" t="s">
        <v>44</v>
      </c>
      <c r="J39" s="8" t="s">
        <v>42</v>
      </c>
      <c r="K39" s="8" t="s">
        <v>44</v>
      </c>
      <c r="L39" s="8" t="s">
        <v>42</v>
      </c>
      <c r="M39" s="8" t="s">
        <v>42</v>
      </c>
      <c r="N39" s="8" t="s">
        <v>43</v>
      </c>
      <c r="O39" s="8" t="s">
        <v>42</v>
      </c>
      <c r="P39" s="21" t="s">
        <v>53</v>
      </c>
      <c r="Q39" s="8" t="s">
        <v>46</v>
      </c>
      <c r="R39" s="8" t="s">
        <v>46</v>
      </c>
      <c r="S39" s="22" t="n">
        <f aca="false">INDEX(Pontos!$B$2:$F$2,MATCH(D39,Pontos!$B$1:$F$1,0))+INDEX(Pontos!$B$3:$F$3,MATCH(E39,Pontos!$B$1:$F$1,0))+INDEX(Pontos!$B$4:$F$4,MATCH(F39,Pontos!$B$1:$F$1,0))+INDEX(Pontos!$B$5:$F$5,MATCH(G39,Pontos!$B$1:$F$1,0))+INDEX(Pontos!$B$6:$F$6,MATCH(H39,Pontos!$B$1:$F$1,0))+INDEX(Pontos!$B$7:$F$7,MATCH(I39,Pontos!$B$1:$F$1,0))+INDEX(Pontos!$B$8:$F$8,MATCH(J39,Pontos!$B$1:$F$1,0))+INDEX(Pontos!$B$9:$F$9,MATCH(K39,Pontos!$B$1:$F$1,0))+INDEX(Pontos!$B$10:$F$10,MATCH(L39,Pontos!$B$1:$F$1,0))+INDEX(Pontos!$B$11:$F$11,MATCH(M39,Pontos!$B$1:$F$1,0))+INDEX(Pontos!$B$12:$F$12,MATCH(N39,Pontos!$B$1:$F$1,0))+INDEX(Pontos!$B$13:$F$13,MATCH(O39,Pontos!$B$1:$F$1,0))+INDEX(Pontos!$B$14:$F$14,MATCH(P39,Listas!$A$2:$A$6,0))+IF(Q39="Sim",4,0)+IF(R39="Sim",2,0)</f>
        <v>51</v>
      </c>
      <c r="T39" s="23" t="str">
        <f aca="false">IF(S39&gt;=45,"A",IF(S39&gt;=38,"B1",IF(S39&gt;=29,"B2",IF(S39&gt;=23,"C1",IF(S39&gt;=17,"C2","D-E")))))</f>
        <v>A</v>
      </c>
    </row>
    <row r="40" customFormat="false" ht="21" hidden="false" customHeight="true" outlineLevel="0" collapsed="false">
      <c r="A40" s="5" t="n">
        <v>39</v>
      </c>
      <c r="B40" s="16" t="s">
        <v>20</v>
      </c>
      <c r="C40" s="5" t="s">
        <v>41</v>
      </c>
      <c r="D40" s="5" t="s">
        <v>44</v>
      </c>
      <c r="E40" s="5" t="s">
        <v>43</v>
      </c>
      <c r="F40" s="5" t="s">
        <v>42</v>
      </c>
      <c r="G40" s="5" t="s">
        <v>44</v>
      </c>
      <c r="H40" s="5" t="s">
        <v>42</v>
      </c>
      <c r="I40" s="5" t="s">
        <v>42</v>
      </c>
      <c r="J40" s="5" t="s">
        <v>43</v>
      </c>
      <c r="K40" s="5" t="s">
        <v>42</v>
      </c>
      <c r="L40" s="5" t="s">
        <v>43</v>
      </c>
      <c r="M40" s="5" t="s">
        <v>42</v>
      </c>
      <c r="N40" s="5" t="s">
        <v>42</v>
      </c>
      <c r="O40" s="5" t="s">
        <v>43</v>
      </c>
      <c r="P40" s="17" t="s">
        <v>45</v>
      </c>
      <c r="Q40" s="5" t="s">
        <v>46</v>
      </c>
      <c r="R40" s="5" t="s">
        <v>56</v>
      </c>
      <c r="S40" s="18" t="n">
        <f aca="false">INDEX(Pontos!$B$2:$F$2,MATCH(D40,Pontos!$B$1:$F$1,0))+INDEX(Pontos!$B$3:$F$3,MATCH(E40,Pontos!$B$1:$F$1,0))+INDEX(Pontos!$B$4:$F$4,MATCH(F40,Pontos!$B$1:$F$1,0))+INDEX(Pontos!$B$5:$F$5,MATCH(G40,Pontos!$B$1:$F$1,0))+INDEX(Pontos!$B$6:$F$6,MATCH(H40,Pontos!$B$1:$F$1,0))+INDEX(Pontos!$B$7:$F$7,MATCH(I40,Pontos!$B$1:$F$1,0))+INDEX(Pontos!$B$8:$F$8,MATCH(J40,Pontos!$B$1:$F$1,0))+INDEX(Pontos!$B$9:$F$9,MATCH(K40,Pontos!$B$1:$F$1,0))+INDEX(Pontos!$B$10:$F$10,MATCH(L40,Pontos!$B$1:$F$1,0))+INDEX(Pontos!$B$11:$F$11,MATCH(M40,Pontos!$B$1:$F$1,0))+INDEX(Pontos!$B$12:$F$12,MATCH(N40,Pontos!$B$1:$F$1,0))+INDEX(Pontos!$B$13:$F$13,MATCH(O40,Pontos!$B$1:$F$1,0))+INDEX(Pontos!$B$14:$F$14,MATCH(P40,Listas!$A$2:$A$6,0))+IF(Q40="Sim",4,0)+IF(R40="Sim",2,0)</f>
        <v>32</v>
      </c>
      <c r="T40" s="19" t="str">
        <f aca="false">IF(S40&gt;=45,"A",IF(S40&gt;=38,"B1",IF(S40&gt;=29,"B2",IF(S40&gt;=23,"C1",IF(S40&gt;=17,"C2","D-E")))))</f>
        <v>B2</v>
      </c>
    </row>
    <row r="41" customFormat="false" ht="21" hidden="false" customHeight="true" outlineLevel="0" collapsed="false">
      <c r="A41" s="8" t="n">
        <v>40</v>
      </c>
      <c r="B41" s="20" t="s">
        <v>21</v>
      </c>
      <c r="C41" s="8" t="s">
        <v>41</v>
      </c>
      <c r="D41" s="8" t="s">
        <v>44</v>
      </c>
      <c r="E41" s="8" t="s">
        <v>43</v>
      </c>
      <c r="F41" s="8" t="s">
        <v>42</v>
      </c>
      <c r="G41" s="8" t="s">
        <v>44</v>
      </c>
      <c r="H41" s="8" t="s">
        <v>42</v>
      </c>
      <c r="I41" s="8" t="s">
        <v>42</v>
      </c>
      <c r="J41" s="8" t="s">
        <v>43</v>
      </c>
      <c r="K41" s="8" t="s">
        <v>42</v>
      </c>
      <c r="L41" s="8" t="s">
        <v>42</v>
      </c>
      <c r="M41" s="8" t="s">
        <v>42</v>
      </c>
      <c r="N41" s="8" t="s">
        <v>43</v>
      </c>
      <c r="O41" s="8" t="s">
        <v>43</v>
      </c>
      <c r="P41" s="21" t="s">
        <v>50</v>
      </c>
      <c r="Q41" s="8" t="s">
        <v>46</v>
      </c>
      <c r="R41" s="8" t="s">
        <v>46</v>
      </c>
      <c r="S41" s="22" t="n">
        <f aca="false">INDEX(Pontos!$B$2:$F$2,MATCH(D41,Pontos!$B$1:$F$1,0))+INDEX(Pontos!$B$3:$F$3,MATCH(E41,Pontos!$B$1:$F$1,0))+INDEX(Pontos!$B$4:$F$4,MATCH(F41,Pontos!$B$1:$F$1,0))+INDEX(Pontos!$B$5:$F$5,MATCH(G41,Pontos!$B$1:$F$1,0))+INDEX(Pontos!$B$6:$F$6,MATCH(H41,Pontos!$B$1:$F$1,0))+INDEX(Pontos!$B$7:$F$7,MATCH(I41,Pontos!$B$1:$F$1,0))+INDEX(Pontos!$B$8:$F$8,MATCH(J41,Pontos!$B$1:$F$1,0))+INDEX(Pontos!$B$9:$F$9,MATCH(K41,Pontos!$B$1:$F$1,0))+INDEX(Pontos!$B$10:$F$10,MATCH(L41,Pontos!$B$1:$F$1,0))+INDEX(Pontos!$B$11:$F$11,MATCH(M41,Pontos!$B$1:$F$1,0))+INDEX(Pontos!$B$12:$F$12,MATCH(N41,Pontos!$B$1:$F$1,0))+INDEX(Pontos!$B$13:$F$13,MATCH(O41,Pontos!$B$1:$F$1,0))+INDEX(Pontos!$B$14:$F$14,MATCH(P41,Listas!$A$2:$A$6,0))+IF(Q41="Sim",4,0)+IF(R41="Sim",2,0)</f>
        <v>33</v>
      </c>
      <c r="T41" s="23" t="str">
        <f aca="false">IF(S41&gt;=45,"A",IF(S41&gt;=38,"B1",IF(S41&gt;=29,"B2",IF(S41&gt;=23,"C1",IF(S41&gt;=17,"C2","D-E")))))</f>
        <v>B2</v>
      </c>
    </row>
  </sheetData>
  <conditionalFormatting sqref="T2:T41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"B1"</formula>
    </cfRule>
    <cfRule type="cellIs" priority="4" operator="equal" aboveAverage="0" equalAverage="0" bottom="0" percent="0" rank="0" text="" dxfId="2">
      <formula>"B2"</formula>
    </cfRule>
    <cfRule type="cellIs" priority="5" operator="equal" aboveAverage="0" equalAverage="0" bottom="0" percent="0" rank="0" text="" dxfId="3">
      <formula>"C1"</formula>
    </cfRule>
    <cfRule type="cellIs" priority="6" operator="equal" aboveAverage="0" equalAverage="0" bottom="0" percent="0" rank="0" text="" dxfId="4">
      <formula>"C2"</formula>
    </cfRule>
    <cfRule type="cellIs" priority="7" operator="equal" aboveAverage="0" equalAverage="0" bottom="0" percent="0" rank="0" text="" dxfId="5">
      <formula>"D-E"</formula>
    </cfRule>
  </conditionalFormatting>
  <conditionalFormatting sqref="B2:B41">
    <cfRule type="cellIs" priority="8" operator="equal" aboveAverage="0" equalAverage="0" bottom="0" percent="0" rank="0" text="" dxfId="6">
      <formula>"Com certeza"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9C8F"/>
    <pageSetUpPr fitToPage="fals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4"/>
  </cols>
  <sheetData>
    <row r="1" customFormat="false" ht="24" hidden="false" customHeight="true" outlineLevel="0" collapsed="false">
      <c r="A1" s="3" t="s">
        <v>57</v>
      </c>
      <c r="B1" s="3" t="s">
        <v>43</v>
      </c>
      <c r="C1" s="3" t="s">
        <v>42</v>
      </c>
      <c r="D1" s="3" t="s">
        <v>44</v>
      </c>
      <c r="E1" s="3" t="s">
        <v>52</v>
      </c>
      <c r="F1" s="3" t="s">
        <v>58</v>
      </c>
    </row>
    <row r="2" customFormat="false" ht="15" hidden="false" customHeight="false" outlineLevel="0" collapsed="false">
      <c r="A2" s="24" t="s">
        <v>25</v>
      </c>
      <c r="B2" s="5" t="n">
        <v>0</v>
      </c>
      <c r="C2" s="5" t="n">
        <v>3</v>
      </c>
      <c r="D2" s="5" t="n">
        <v>7</v>
      </c>
      <c r="E2" s="5" t="n">
        <v>10</v>
      </c>
      <c r="F2" s="5" t="n">
        <v>14</v>
      </c>
    </row>
    <row r="3" customFormat="false" ht="15" hidden="false" customHeight="false" outlineLevel="0" collapsed="false">
      <c r="A3" s="25" t="s">
        <v>26</v>
      </c>
      <c r="B3" s="8" t="n">
        <v>0</v>
      </c>
      <c r="C3" s="8" t="n">
        <v>3</v>
      </c>
      <c r="D3" s="8" t="n">
        <v>7</v>
      </c>
      <c r="E3" s="8" t="n">
        <v>10</v>
      </c>
      <c r="F3" s="8" t="n">
        <v>13</v>
      </c>
    </row>
    <row r="4" customFormat="false" ht="15" hidden="false" customHeight="false" outlineLevel="0" collapsed="false">
      <c r="A4" s="24" t="s">
        <v>27</v>
      </c>
      <c r="B4" s="5" t="n">
        <v>0</v>
      </c>
      <c r="C4" s="5" t="n">
        <v>3</v>
      </c>
      <c r="D4" s="5" t="n">
        <v>5</v>
      </c>
      <c r="E4" s="5" t="n">
        <v>8</v>
      </c>
      <c r="F4" s="5" t="n">
        <v>11</v>
      </c>
    </row>
    <row r="5" customFormat="false" ht="15" hidden="false" customHeight="false" outlineLevel="0" collapsed="false">
      <c r="A5" s="25" t="s">
        <v>28</v>
      </c>
      <c r="B5" s="8" t="n">
        <v>0</v>
      </c>
      <c r="C5" s="8" t="n">
        <v>3</v>
      </c>
      <c r="D5" s="8" t="n">
        <v>6</v>
      </c>
      <c r="E5" s="8" t="n">
        <v>8</v>
      </c>
      <c r="F5" s="8" t="n">
        <v>11</v>
      </c>
    </row>
    <row r="6" customFormat="false" ht="15" hidden="false" customHeight="false" outlineLevel="0" collapsed="false">
      <c r="A6" s="24" t="s">
        <v>29</v>
      </c>
      <c r="B6" s="5" t="n">
        <v>0</v>
      </c>
      <c r="C6" s="5" t="n">
        <v>3</v>
      </c>
      <c r="D6" s="5" t="n">
        <v>6</v>
      </c>
      <c r="E6" s="5" t="n">
        <v>6</v>
      </c>
      <c r="F6" s="5" t="n">
        <v>6</v>
      </c>
    </row>
    <row r="7" customFormat="false" ht="15" hidden="false" customHeight="false" outlineLevel="0" collapsed="false">
      <c r="A7" s="25" t="s">
        <v>30</v>
      </c>
      <c r="B7" s="8" t="n">
        <v>0</v>
      </c>
      <c r="C7" s="8" t="n">
        <v>2</v>
      </c>
      <c r="D7" s="8" t="n">
        <v>3</v>
      </c>
      <c r="E7" s="8" t="n">
        <v>5</v>
      </c>
      <c r="F7" s="8" t="n">
        <v>5</v>
      </c>
    </row>
    <row r="8" customFormat="false" ht="15" hidden="false" customHeight="false" outlineLevel="0" collapsed="false">
      <c r="A8" s="24" t="s">
        <v>31</v>
      </c>
      <c r="B8" s="5" t="n">
        <v>0</v>
      </c>
      <c r="C8" s="5" t="n">
        <v>2</v>
      </c>
      <c r="D8" s="5" t="n">
        <v>4</v>
      </c>
      <c r="E8" s="5" t="n">
        <v>6</v>
      </c>
      <c r="F8" s="5" t="n">
        <v>6</v>
      </c>
    </row>
    <row r="9" customFormat="false" ht="15" hidden="false" customHeight="false" outlineLevel="0" collapsed="false">
      <c r="A9" s="25" t="s">
        <v>32</v>
      </c>
      <c r="B9" s="8" t="n">
        <v>0</v>
      </c>
      <c r="C9" s="8" t="n">
        <v>2</v>
      </c>
      <c r="D9" s="8" t="n">
        <v>4</v>
      </c>
      <c r="E9" s="8" t="n">
        <v>6</v>
      </c>
      <c r="F9" s="8" t="n">
        <v>6</v>
      </c>
    </row>
    <row r="10" customFormat="false" ht="15" hidden="false" customHeight="false" outlineLevel="0" collapsed="false">
      <c r="A10" s="24" t="s">
        <v>33</v>
      </c>
      <c r="B10" s="5" t="n">
        <v>0</v>
      </c>
      <c r="C10" s="5" t="n">
        <v>1</v>
      </c>
      <c r="D10" s="5" t="n">
        <v>3</v>
      </c>
      <c r="E10" s="5" t="n">
        <v>4</v>
      </c>
      <c r="F10" s="5" t="n">
        <v>6</v>
      </c>
    </row>
    <row r="11" customFormat="false" ht="15" hidden="false" customHeight="false" outlineLevel="0" collapsed="false">
      <c r="A11" s="25" t="s">
        <v>34</v>
      </c>
      <c r="B11" s="8" t="n">
        <v>0</v>
      </c>
      <c r="C11" s="8" t="n">
        <v>2</v>
      </c>
      <c r="D11" s="8" t="n">
        <v>4</v>
      </c>
      <c r="E11" s="8" t="n">
        <v>4</v>
      </c>
      <c r="F11" s="8" t="n">
        <v>4</v>
      </c>
    </row>
    <row r="12" customFormat="false" ht="15" hidden="false" customHeight="false" outlineLevel="0" collapsed="false">
      <c r="A12" s="24" t="s">
        <v>35</v>
      </c>
      <c r="B12" s="5" t="n">
        <v>0</v>
      </c>
      <c r="C12" s="5" t="n">
        <v>1</v>
      </c>
      <c r="D12" s="5" t="n">
        <v>3</v>
      </c>
      <c r="E12" s="5" t="n">
        <v>3</v>
      </c>
      <c r="F12" s="5" t="n">
        <v>3</v>
      </c>
    </row>
    <row r="13" customFormat="false" ht="15" hidden="false" customHeight="false" outlineLevel="0" collapsed="false">
      <c r="A13" s="25" t="s">
        <v>36</v>
      </c>
      <c r="B13" s="8" t="n">
        <v>0</v>
      </c>
      <c r="C13" s="8" t="n">
        <v>2</v>
      </c>
      <c r="D13" s="8" t="n">
        <v>2</v>
      </c>
      <c r="E13" s="8" t="n">
        <v>2</v>
      </c>
      <c r="F13" s="8" t="n">
        <v>2</v>
      </c>
    </row>
    <row r="14" customFormat="false" ht="15" hidden="false" customHeight="false" outlineLevel="0" collapsed="false">
      <c r="A14" s="26" t="s">
        <v>59</v>
      </c>
      <c r="B14" s="27" t="n">
        <v>0</v>
      </c>
      <c r="C14" s="27" t="n">
        <v>1</v>
      </c>
      <c r="D14" s="27" t="n">
        <v>2</v>
      </c>
      <c r="E14" s="27" t="n">
        <v>4</v>
      </c>
      <c r="F14" s="27" t="n">
        <v>7</v>
      </c>
    </row>
    <row r="15" customFormat="false" ht="15" hidden="false" customHeight="false" outlineLevel="0" collapsed="false">
      <c r="A15" s="28" t="s">
        <v>60</v>
      </c>
    </row>
    <row r="16" customFormat="false" ht="15" hidden="false" customHeight="false" outlineLevel="0" collapsed="false">
      <c r="A16" s="28" t="s">
        <v>61</v>
      </c>
    </row>
    <row r="18" customFormat="false" ht="24" hidden="false" customHeight="true" outlineLevel="0" collapsed="false">
      <c r="A18" s="3" t="s">
        <v>2</v>
      </c>
      <c r="B18" s="3" t="s">
        <v>62</v>
      </c>
      <c r="C18" s="3" t="s">
        <v>63</v>
      </c>
    </row>
    <row r="19" customFormat="false" ht="15" hidden="false" customHeight="false" outlineLevel="0" collapsed="false">
      <c r="A19" s="18" t="s">
        <v>6</v>
      </c>
      <c r="B19" s="5" t="n">
        <v>45</v>
      </c>
      <c r="C19" s="5" t="n">
        <v>100</v>
      </c>
    </row>
    <row r="20" customFormat="false" ht="15" hidden="false" customHeight="false" outlineLevel="0" collapsed="false">
      <c r="A20" s="22" t="s">
        <v>8</v>
      </c>
      <c r="B20" s="8" t="n">
        <v>38</v>
      </c>
      <c r="C20" s="8" t="n">
        <v>44</v>
      </c>
    </row>
    <row r="21" customFormat="false" ht="15" hidden="false" customHeight="false" outlineLevel="0" collapsed="false">
      <c r="A21" s="18" t="s">
        <v>10</v>
      </c>
      <c r="B21" s="5" t="n">
        <v>29</v>
      </c>
      <c r="C21" s="5" t="n">
        <v>37</v>
      </c>
    </row>
    <row r="22" customFormat="false" ht="15" hidden="false" customHeight="false" outlineLevel="0" collapsed="false">
      <c r="A22" s="22" t="s">
        <v>12</v>
      </c>
      <c r="B22" s="8" t="n">
        <v>23</v>
      </c>
      <c r="C22" s="8" t="n">
        <v>28</v>
      </c>
    </row>
    <row r="23" customFormat="false" ht="15" hidden="false" customHeight="false" outlineLevel="0" collapsed="false">
      <c r="A23" s="18" t="s">
        <v>14</v>
      </c>
      <c r="B23" s="5" t="n">
        <v>17</v>
      </c>
      <c r="C23" s="5" t="n">
        <v>22</v>
      </c>
    </row>
    <row r="24" customFormat="false" ht="15" hidden="false" customHeight="false" outlineLevel="0" collapsed="false">
      <c r="A24" s="22" t="s">
        <v>16</v>
      </c>
      <c r="B24" s="8" t="n">
        <v>0</v>
      </c>
      <c r="C24" s="8" t="n">
        <v>16</v>
      </c>
    </row>
    <row r="26" customFormat="false" ht="15" hidden="false" customHeight="false" outlineLevel="0" collapsed="false">
      <c r="A26" s="29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BBD0"/>
    <pageSetUpPr fitToPage="false"/>
  </sheetPr>
  <dimension ref="A1:A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</cols>
  <sheetData>
    <row r="1" customFormat="false" ht="24" hidden="false" customHeight="true" outlineLevel="0" collapsed="false">
      <c r="A1" s="3" t="s">
        <v>65</v>
      </c>
    </row>
    <row r="2" customFormat="false" ht="15" hidden="false" customHeight="false" outlineLevel="0" collapsed="false">
      <c r="A2" s="30" t="s">
        <v>66</v>
      </c>
    </row>
    <row r="3" customFormat="false" ht="15" hidden="false" customHeight="false" outlineLevel="0" collapsed="false">
      <c r="A3" s="31" t="s">
        <v>50</v>
      </c>
    </row>
    <row r="4" customFormat="false" ht="15" hidden="false" customHeight="false" outlineLevel="0" collapsed="false">
      <c r="A4" s="30" t="s">
        <v>45</v>
      </c>
    </row>
    <row r="5" customFormat="false" ht="15" hidden="false" customHeight="false" outlineLevel="0" collapsed="false">
      <c r="A5" s="31" t="s">
        <v>48</v>
      </c>
    </row>
    <row r="6" customFormat="false" ht="15" hidden="false" customHeight="false" outlineLevel="0" collapsed="false">
      <c r="A6" s="30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2026-10-26T23:02:54Z</dcterms:created>
  <dc:creator>openpyxl</dc:creator>
  <dc:description/>
  <dc:language>en-US</dc:language>
  <cp:lastModifiedBy/>
  <dcterms:modified xsi:type="dcterms:W3CDTF">2026-10-26T23:06:37Z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