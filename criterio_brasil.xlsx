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ontos" sheetId="1" state="visible" r:id="rId3"/>
    <sheet name="Respostas" sheetId="2" state="visible" r:id="rId4"/>
    <sheet name="Resum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<sst xmlns="http://schemas.openxmlformats.org/spreadsheetml/2006/main" count="59" uniqueCount="39">
  <si>
    <t xml:space="preserve">Item</t>
  </si>
  <si>
    <t xml:space="preserve">0 (não tem)</t>
  </si>
  <si>
    <t xml:space="preserve">1</t>
  </si>
  <si>
    <t xml:space="preserve">2</t>
  </si>
  <si>
    <t xml:space="preserve">3</t>
  </si>
  <si>
    <t xml:space="preserve">4 ou mais</t>
  </si>
  <si>
    <t xml:space="preserve">Banheiros</t>
  </si>
  <si>
    <t xml:space="preserve">Trabalhadores domésticos mensalistas</t>
  </si>
  <si>
    <t xml:space="preserve">Automóveis</t>
  </si>
  <si>
    <t xml:space="preserve">Microcomputador</t>
  </si>
  <si>
    <t xml:space="preserve">Lava-louça</t>
  </si>
  <si>
    <t xml:space="preserve">Geladeira</t>
  </si>
  <si>
    <t xml:space="preserve">Freezer</t>
  </si>
  <si>
    <t xml:space="preserve">Lava-roupa</t>
  </si>
  <si>
    <t xml:space="preserve">DVD</t>
  </si>
  <si>
    <t xml:space="preserve">Micro-ondas</t>
  </si>
  <si>
    <t xml:space="preserve">Motocicleta</t>
  </si>
  <si>
    <t xml:space="preserve">Secadora de roupa</t>
  </si>
  <si>
    <t xml:space="preserve">Instrução de quem sustenta a casa (0=analfabeto/fund. I incompleto · 1=fund. I completo · 2=fund. II completo · 3=médio completo · 4=superior completo)</t>
  </si>
  <si>
    <t xml:space="preserve">Água encanada (0=não · 1=sim)</t>
  </si>
  <si>
    <t xml:space="preserve">Rua pavimentada (0=não · 1=sim)</t>
  </si>
  <si>
    <t xml:space="preserve">Classe</t>
  </si>
  <si>
    <t xml:space="preserve">Pontos de</t>
  </si>
  <si>
    <t xml:space="preserve">Pontos até</t>
  </si>
  <si>
    <t xml:space="preserve">A</t>
  </si>
  <si>
    <t xml:space="preserve">B1</t>
  </si>
  <si>
    <t xml:space="preserve">B2</t>
  </si>
  <si>
    <t xml:space="preserve">C1</t>
  </si>
  <si>
    <t xml:space="preserve">C2</t>
  </si>
  <si>
    <t xml:space="preserve">D-E</t>
  </si>
  <si>
    <t xml:space="preserve">Fonte: ABEP, Critério de Classificação Econômica Brasil 2022.</t>
  </si>
  <si>
    <t xml:space="preserve">Respondente</t>
  </si>
  <si>
    <t xml:space="preserve">Instrução (0 a 4)</t>
  </si>
  <si>
    <t xml:space="preserve">Água encanada (0/1)</t>
  </si>
  <si>
    <t xml:space="preserve">Rua pavimentada (0/1)</t>
  </si>
  <si>
    <t xml:space="preserve">Pontos</t>
  </si>
  <si>
    <t xml:space="preserve">Pessoas</t>
  </si>
  <si>
    <t xml:space="preserve">%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</si>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</sst>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0A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F60A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n">
        <v>0</v>
      </c>
      <c r="C2" s="0" t="n">
        <v>3</v>
      </c>
      <c r="D2" s="0" t="n">
        <v>7</v>
      </c>
      <c r="E2" s="0" t="n">
        <v>10</v>
      </c>
      <c r="F2" s="0" t="n">
        <v>14</v>
      </c>
    </row>
    <row r="3" customFormat="false" ht="15" hidden="false" customHeight="false" outlineLevel="0" collapsed="false">
      <c r="A3" s="0" t="s">
        <v>7</v>
      </c>
      <c r="B3" s="0" t="n">
        <v>0</v>
      </c>
      <c r="C3" s="0" t="n">
        <v>3</v>
      </c>
      <c r="D3" s="0" t="n">
        <v>7</v>
      </c>
      <c r="E3" s="0" t="n">
        <v>10</v>
      </c>
      <c r="F3" s="0" t="n">
        <v>13</v>
      </c>
    </row>
    <row r="4" customFormat="false" ht="15" hidden="false" customHeight="false" outlineLevel="0" collapsed="false">
      <c r="A4" s="0" t="s">
        <v>8</v>
      </c>
      <c r="B4" s="0" t="n">
        <v>0</v>
      </c>
      <c r="C4" s="0" t="n">
        <v>3</v>
      </c>
      <c r="D4" s="0" t="n">
        <v>5</v>
      </c>
      <c r="E4" s="0" t="n">
        <v>8</v>
      </c>
      <c r="F4" s="0" t="n">
        <v>11</v>
      </c>
    </row>
    <row r="5" customFormat="false" ht="15" hidden="false" customHeight="false" outlineLevel="0" collapsed="false">
      <c r="A5" s="0" t="s">
        <v>9</v>
      </c>
      <c r="B5" s="0" t="n">
        <v>0</v>
      </c>
      <c r="C5" s="0" t="n">
        <v>3</v>
      </c>
      <c r="D5" s="0" t="n">
        <v>6</v>
      </c>
      <c r="E5" s="0" t="n">
        <v>8</v>
      </c>
      <c r="F5" s="0" t="n">
        <v>11</v>
      </c>
    </row>
    <row r="6" customFormat="false" ht="15" hidden="false" customHeight="false" outlineLevel="0" collapsed="false">
      <c r="A6" s="0" t="s">
        <v>10</v>
      </c>
      <c r="B6" s="0" t="n">
        <v>0</v>
      </c>
      <c r="C6" s="0" t="n">
        <v>3</v>
      </c>
      <c r="D6" s="0" t="n">
        <v>6</v>
      </c>
      <c r="E6" s="0" t="n">
        <v>6</v>
      </c>
      <c r="F6" s="0" t="n">
        <v>6</v>
      </c>
    </row>
    <row r="7" customFormat="false" ht="15" hidden="false" customHeight="false" outlineLevel="0" collapsed="false">
      <c r="A7" s="0" t="s">
        <v>11</v>
      </c>
      <c r="B7" s="0" t="n">
        <v>0</v>
      </c>
      <c r="C7" s="0" t="n">
        <v>2</v>
      </c>
      <c r="D7" s="0" t="n">
        <v>3</v>
      </c>
      <c r="E7" s="0" t="n">
        <v>5</v>
      </c>
      <c r="F7" s="0" t="n">
        <v>5</v>
      </c>
    </row>
    <row r="8" customFormat="false" ht="15" hidden="false" customHeight="false" outlineLevel="0" collapsed="false">
      <c r="A8" s="0" t="s">
        <v>12</v>
      </c>
      <c r="B8" s="0" t="n">
        <v>0</v>
      </c>
      <c r="C8" s="0" t="n">
        <v>2</v>
      </c>
      <c r="D8" s="0" t="n">
        <v>4</v>
      </c>
      <c r="E8" s="0" t="n">
        <v>6</v>
      </c>
      <c r="F8" s="0" t="n">
        <v>6</v>
      </c>
    </row>
    <row r="9" customFormat="false" ht="15" hidden="false" customHeight="false" outlineLevel="0" collapsed="false">
      <c r="A9" s="0" t="s">
        <v>13</v>
      </c>
      <c r="B9" s="0" t="n">
        <v>0</v>
      </c>
      <c r="C9" s="0" t="n">
        <v>2</v>
      </c>
      <c r="D9" s="0" t="n">
        <v>4</v>
      </c>
      <c r="E9" s="0" t="n">
        <v>6</v>
      </c>
      <c r="F9" s="0" t="n">
        <v>6</v>
      </c>
    </row>
    <row r="10" customFormat="false" ht="15" hidden="false" customHeight="false" outlineLevel="0" collapsed="false">
      <c r="A10" s="0" t="s">
        <v>14</v>
      </c>
      <c r="B10" s="0" t="n">
        <v>0</v>
      </c>
      <c r="C10" s="0" t="n">
        <v>1</v>
      </c>
      <c r="D10" s="0" t="n">
        <v>3</v>
      </c>
      <c r="E10" s="0" t="n">
        <v>4</v>
      </c>
      <c r="F10" s="0" t="n">
        <v>6</v>
      </c>
    </row>
    <row r="11" customFormat="false" ht="15" hidden="false" customHeight="false" outlineLevel="0" collapsed="false">
      <c r="A11" s="0" t="s">
        <v>15</v>
      </c>
      <c r="B11" s="0" t="n">
        <v>0</v>
      </c>
      <c r="C11" s="0" t="n">
        <v>2</v>
      </c>
      <c r="D11" s="0" t="n">
        <v>4</v>
      </c>
      <c r="E11" s="0" t="n">
        <v>4</v>
      </c>
      <c r="F11" s="0" t="n">
        <v>4</v>
      </c>
    </row>
    <row r="12" customFormat="false" ht="15" hidden="false" customHeight="false" outlineLevel="0" collapsed="false">
      <c r="A12" s="0" t="s">
        <v>16</v>
      </c>
      <c r="B12" s="0" t="n">
        <v>0</v>
      </c>
      <c r="C12" s="0" t="n">
        <v>1</v>
      </c>
      <c r="D12" s="0" t="n">
        <v>3</v>
      </c>
      <c r="E12" s="0" t="n">
        <v>3</v>
      </c>
      <c r="F12" s="0" t="n">
        <v>3</v>
      </c>
    </row>
    <row r="13" customFormat="false" ht="15" hidden="false" customHeight="false" outlineLevel="0" collapsed="false">
      <c r="A13" s="0" t="s">
        <v>17</v>
      </c>
      <c r="B13" s="0" t="n">
        <v>0</v>
      </c>
      <c r="C13" s="0" t="n">
        <v>2</v>
      </c>
      <c r="D13" s="0" t="n">
        <v>2</v>
      </c>
      <c r="E13" s="0" t="n">
        <v>2</v>
      </c>
      <c r="F13" s="0" t="n">
        <v>2</v>
      </c>
    </row>
    <row r="14" customFormat="false" ht="15" hidden="false" customHeight="false" outlineLevel="0" collapsed="false">
      <c r="A14" s="0" t="s">
        <v>18</v>
      </c>
      <c r="B14" s="0" t="n">
        <v>0</v>
      </c>
      <c r="C14" s="0" t="n">
        <v>1</v>
      </c>
      <c r="D14" s="0" t="n">
        <v>2</v>
      </c>
      <c r="E14" s="0" t="n">
        <v>4</v>
      </c>
      <c r="F14" s="0" t="n">
        <v>7</v>
      </c>
    </row>
    <row r="15" customFormat="false" ht="15" hidden="false" customHeight="false" outlineLevel="0" collapsed="false">
      <c r="A15" s="0" t="s">
        <v>19</v>
      </c>
      <c r="B15" s="0" t="n">
        <v>0</v>
      </c>
      <c r="C15" s="0" t="n">
        <v>4</v>
      </c>
    </row>
    <row r="16" customFormat="false" ht="15" hidden="false" customHeight="false" outlineLevel="0" collapsed="false">
      <c r="A16" s="0" t="s">
        <v>20</v>
      </c>
      <c r="B16" s="0" t="n">
        <v>0</v>
      </c>
      <c r="C16" s="0" t="n">
        <v>2</v>
      </c>
    </row>
    <row r="18" customFormat="false" ht="15" hidden="false" customHeight="false" outlineLevel="0" collapsed="false">
      <c r="A18" s="0" t="s">
        <v>21</v>
      </c>
      <c r="B18" s="0" t="s">
        <v>22</v>
      </c>
      <c r="C18" s="0" t="s">
        <v>23</v>
      </c>
    </row>
    <row r="19" customFormat="false" ht="15" hidden="false" customHeight="false" outlineLevel="0" collapsed="false">
      <c r="A19" s="0" t="s">
        <v>24</v>
      </c>
      <c r="B19" s="0" t="n">
        <v>45</v>
      </c>
      <c r="C19" s="0" t="n">
        <v>100</v>
      </c>
    </row>
    <row r="20" customFormat="false" ht="15" hidden="false" customHeight="false" outlineLevel="0" collapsed="false">
      <c r="A20" s="0" t="s">
        <v>25</v>
      </c>
      <c r="B20" s="0" t="n">
        <v>38</v>
      </c>
      <c r="C20" s="0" t="n">
        <v>44</v>
      </c>
    </row>
    <row r="21" customFormat="false" ht="15" hidden="false" customHeight="false" outlineLevel="0" collapsed="false">
      <c r="A21" s="0" t="s">
        <v>26</v>
      </c>
      <c r="B21" s="0" t="n">
        <v>29</v>
      </c>
      <c r="C21" s="0" t="n">
        <v>37</v>
      </c>
    </row>
    <row r="22" customFormat="false" ht="15" hidden="false" customHeight="false" outlineLevel="0" collapsed="false">
      <c r="A22" s="0" t="s">
        <v>27</v>
      </c>
      <c r="B22" s="0" t="n">
        <v>23</v>
      </c>
      <c r="C22" s="0" t="n">
        <v>28</v>
      </c>
    </row>
    <row r="23" customFormat="false" ht="15" hidden="false" customHeight="false" outlineLevel="0" collapsed="false">
      <c r="A23" s="0" t="s">
        <v>28</v>
      </c>
      <c r="B23" s="0" t="n">
        <v>17</v>
      </c>
      <c r="C23" s="0" t="n">
        <v>22</v>
      </c>
    </row>
    <row r="24" customFormat="false" ht="15" hidden="false" customHeight="false" outlineLevel="0" collapsed="false">
      <c r="A24" s="0" t="s">
        <v>29</v>
      </c>
      <c r="B24" s="0" t="n">
        <v>0</v>
      </c>
      <c r="C24" s="0" t="n">
        <v>16</v>
      </c>
    </row>
    <row r="26" customFormat="false" ht="15" hidden="false" customHeight="false" outlineLevel="0" collapsed="false">
      <c r="A26" s="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4"/>
  </cols>
  <sheetData>
    <row r="1" customFormat="false" ht="48" hidden="false" customHeight="true" outlineLevel="0" collapsed="false">
      <c r="A1" s="2" t="s">
        <v>31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32</v>
      </c>
      <c r="O1" s="2" t="s">
        <v>33</v>
      </c>
      <c r="P1" s="2" t="s">
        <v>34</v>
      </c>
      <c r="Q1" s="2" t="s">
        <v>35</v>
      </c>
      <c r="R1" s="2" t="s">
        <v>21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0</v>
      </c>
      <c r="D2" s="0" t="n">
        <v>1</v>
      </c>
      <c r="E2" s="0" t="n">
        <v>2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f aca="false">INDEX(Pontos!$B$2:$F$2,B2+1)+INDEX(Pontos!$B$3:$F$3,C2+1)+INDEX(Pontos!$B$4:$F$4,D2+1)+INDEX(Pontos!$B$5:$F$5,E2+1)+INDEX(Pontos!$B$6:$F$6,F2+1)+INDEX(Pontos!$B$7:$F$7,G2+1)+INDEX(Pontos!$B$8:$F$8,H2+1)+INDEX(Pontos!$B$9:$F$9,I2+1)+INDEX(Pontos!$B$10:$F$10,J2+1)+INDEX(Pontos!$B$11:$F$11,K2+1)+INDEX(Pontos!$B$12:$F$12,L2+1)+INDEX(Pontos!$B$13:$F$13,M2+1)+INDEX(Pontos!$B$14:$F$14,N2+1)+IF(O2=1,4,0)+IF(P2=1,2,0)</f>
        <v>30</v>
      </c>
      <c r="R2" s="0" t="str">
        <f aca="false">IF(Q2&gt;=45,"A",IF(Q2&gt;=38,"B1",IF(Q2&gt;=29,"B2",IF(Q2&gt;=23,"C1",IF(Q2&gt;=17,"C2","D-E")))))</f>
        <v>B2</v>
      </c>
    </row>
    <row r="3" customFormat="false" ht="15" hidden="false" customHeight="false" outlineLevel="0" collapsed="false">
      <c r="A3" s="0" t="n">
        <v>2</v>
      </c>
      <c r="B3" s="0" t="n">
        <v>1</v>
      </c>
      <c r="C3" s="0" t="n">
        <v>0</v>
      </c>
      <c r="D3" s="0" t="n">
        <v>1</v>
      </c>
      <c r="E3" s="0" t="n">
        <v>2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3</v>
      </c>
      <c r="O3" s="0" t="n">
        <v>1</v>
      </c>
      <c r="P3" s="0" t="n">
        <v>1</v>
      </c>
      <c r="Q3" s="0" t="n">
        <f aca="false">INDEX(Pontos!$B$2:$F$2,B3+1)+INDEX(Pontos!$B$3:$F$3,C3+1)+INDEX(Pontos!$B$4:$F$4,D3+1)+INDEX(Pontos!$B$5:$F$5,E3+1)+INDEX(Pontos!$B$6:$F$6,F3+1)+INDEX(Pontos!$B$7:$F$7,G3+1)+INDEX(Pontos!$B$8:$F$8,H3+1)+INDEX(Pontos!$B$9:$F$9,I3+1)+INDEX(Pontos!$B$10:$F$10,J3+1)+INDEX(Pontos!$B$11:$F$11,K3+1)+INDEX(Pontos!$B$12:$F$12,L3+1)+INDEX(Pontos!$B$13:$F$13,M3+1)+INDEX(Pontos!$B$14:$F$14,N3+1)+IF(O3=1,4,0)+IF(P3=1,2,0)</f>
        <v>30</v>
      </c>
      <c r="R3" s="0" t="str">
        <f aca="false">IF(Q3&gt;=45,"A",IF(Q3&gt;=38,"B1",IF(Q3&gt;=29,"B2",IF(Q3&gt;=23,"C1",IF(Q3&gt;=17,"C2","D-E")))))</f>
        <v>B2</v>
      </c>
    </row>
    <row r="4" customFormat="false" ht="15" hidden="false" customHeight="false" outlineLevel="0" collapsed="false">
      <c r="A4" s="0" t="n">
        <v>3</v>
      </c>
      <c r="B4" s="0" t="n">
        <v>1</v>
      </c>
      <c r="C4" s="0" t="n">
        <v>0</v>
      </c>
      <c r="D4" s="0" t="n">
        <v>2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2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1</v>
      </c>
      <c r="Q4" s="0" t="n">
        <f aca="false">INDEX(Pontos!$B$2:$F$2,B4+1)+INDEX(Pontos!$B$3:$F$3,C4+1)+INDEX(Pontos!$B$4:$F$4,D4+1)+INDEX(Pontos!$B$5:$F$5,E4+1)+INDEX(Pontos!$B$6:$F$6,F4+1)+INDEX(Pontos!$B$7:$F$7,G4+1)+INDEX(Pontos!$B$8:$F$8,H4+1)+INDEX(Pontos!$B$9:$F$9,I4+1)+INDEX(Pontos!$B$10:$F$10,J4+1)+INDEX(Pontos!$B$11:$F$11,K4+1)+INDEX(Pontos!$B$12:$F$12,L4+1)+INDEX(Pontos!$B$13:$F$13,M4+1)+INDEX(Pontos!$B$14:$F$14,N4+1)+IF(O4=1,4,0)+IF(P4=1,2,0)</f>
        <v>35</v>
      </c>
      <c r="R4" s="0" t="str">
        <f aca="false">IF(Q4&gt;=45,"A",IF(Q4&gt;=38,"B1",IF(Q4&gt;=29,"B2",IF(Q4&gt;=23,"C1",IF(Q4&gt;=17,"C2","D-E")))))</f>
        <v>B2</v>
      </c>
    </row>
    <row r="5" customFormat="false" ht="15" hidden="false" customHeight="false" outlineLevel="0" collapsed="false">
      <c r="A5" s="0" t="n">
        <v>4</v>
      </c>
      <c r="B5" s="0" t="n">
        <v>1</v>
      </c>
      <c r="C5" s="0" t="n">
        <v>0</v>
      </c>
      <c r="D5" s="0" t="n">
        <v>1</v>
      </c>
      <c r="E5" s="0" t="n">
        <v>2</v>
      </c>
      <c r="F5" s="0" t="n">
        <v>0</v>
      </c>
      <c r="G5" s="0" t="n">
        <v>1</v>
      </c>
      <c r="H5" s="0" t="n">
        <v>1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1</v>
      </c>
      <c r="N5" s="0" t="n">
        <v>2</v>
      </c>
      <c r="O5" s="0" t="n">
        <v>1</v>
      </c>
      <c r="P5" s="0" t="n">
        <v>1</v>
      </c>
      <c r="Q5" s="0" t="n">
        <f aca="false">INDEX(Pontos!$B$2:$F$2,B5+1)+INDEX(Pontos!$B$3:$F$3,C5+1)+INDEX(Pontos!$B$4:$F$4,D5+1)+INDEX(Pontos!$B$5:$F$5,E5+1)+INDEX(Pontos!$B$6:$F$6,F5+1)+INDEX(Pontos!$B$7:$F$7,G5+1)+INDEX(Pontos!$B$8:$F$8,H5+1)+INDEX(Pontos!$B$9:$F$9,I5+1)+INDEX(Pontos!$B$10:$F$10,J5+1)+INDEX(Pontos!$B$11:$F$11,K5+1)+INDEX(Pontos!$B$12:$F$12,L5+1)+INDEX(Pontos!$B$13:$F$13,M5+1)+INDEX(Pontos!$B$14:$F$14,N5+1)+IF(O5=1,4,0)+IF(P5=1,2,0)</f>
        <v>33</v>
      </c>
      <c r="R5" s="0" t="str">
        <f aca="false">IF(Q5&gt;=45,"A",IF(Q5&gt;=38,"B1",IF(Q5&gt;=29,"B2",IF(Q5&gt;=23,"C1",IF(Q5&gt;=17,"C2","D-E")))))</f>
        <v>B2</v>
      </c>
    </row>
    <row r="6" customFormat="false" ht="15" hidden="false" customHeight="false" outlineLevel="0" collapsed="false">
      <c r="A6" s="0" t="n">
        <v>5</v>
      </c>
      <c r="B6" s="0" t="n">
        <v>1</v>
      </c>
      <c r="C6" s="0" t="n">
        <v>0</v>
      </c>
      <c r="D6" s="0" t="n">
        <v>2</v>
      </c>
      <c r="E6" s="0" t="n">
        <v>1</v>
      </c>
      <c r="F6" s="0" t="n">
        <v>0</v>
      </c>
      <c r="G6" s="0" t="n">
        <v>1</v>
      </c>
      <c r="H6" s="0" t="n">
        <v>1</v>
      </c>
      <c r="I6" s="0" t="n">
        <v>2</v>
      </c>
      <c r="J6" s="0" t="n">
        <v>1</v>
      </c>
      <c r="K6" s="0" t="n">
        <v>1</v>
      </c>
      <c r="L6" s="0" t="n">
        <v>0</v>
      </c>
      <c r="M6" s="0" t="n">
        <v>1</v>
      </c>
      <c r="N6" s="0" t="n">
        <v>3</v>
      </c>
      <c r="O6" s="0" t="n">
        <v>1</v>
      </c>
      <c r="P6" s="0" t="n">
        <v>1</v>
      </c>
      <c r="Q6" s="0" t="n">
        <f aca="false">INDEX(Pontos!$B$2:$F$2,B6+1)+INDEX(Pontos!$B$3:$F$3,C6+1)+INDEX(Pontos!$B$4:$F$4,D6+1)+INDEX(Pontos!$B$5:$F$5,E6+1)+INDEX(Pontos!$B$6:$F$6,F6+1)+INDEX(Pontos!$B$7:$F$7,G6+1)+INDEX(Pontos!$B$8:$F$8,H6+1)+INDEX(Pontos!$B$9:$F$9,I6+1)+INDEX(Pontos!$B$10:$F$10,J6+1)+INDEX(Pontos!$B$11:$F$11,K6+1)+INDEX(Pontos!$B$12:$F$12,L6+1)+INDEX(Pontos!$B$13:$F$13,M6+1)+INDEX(Pontos!$B$14:$F$14,N6+1)+IF(O6=1,4,0)+IF(P6=1,2,0)</f>
        <v>34</v>
      </c>
      <c r="R6" s="0" t="str">
        <f aca="false">IF(Q6&gt;=45,"A",IF(Q6&gt;=38,"B1",IF(Q6&gt;=29,"B2",IF(Q6&gt;=23,"C1",IF(Q6&gt;=17,"C2","D-E")))))</f>
        <v>B2</v>
      </c>
    </row>
    <row r="7" customFormat="false" ht="15" hidden="false" customHeight="false" outlineLevel="0" collapsed="false">
      <c r="A7" s="0" t="n">
        <v>6</v>
      </c>
      <c r="B7" s="0" t="n">
        <v>1</v>
      </c>
      <c r="C7" s="0" t="n">
        <v>1</v>
      </c>
      <c r="D7" s="0" t="n">
        <v>1</v>
      </c>
      <c r="E7" s="0" t="n">
        <v>2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f aca="false">INDEX(Pontos!$B$2:$F$2,B7+1)+INDEX(Pontos!$B$3:$F$3,C7+1)+INDEX(Pontos!$B$4:$F$4,D7+1)+INDEX(Pontos!$B$5:$F$5,E7+1)+INDEX(Pontos!$B$6:$F$6,F7+1)+INDEX(Pontos!$B$7:$F$7,G7+1)+INDEX(Pontos!$B$8:$F$8,H7+1)+INDEX(Pontos!$B$9:$F$9,I7+1)+INDEX(Pontos!$B$10:$F$10,J7+1)+INDEX(Pontos!$B$11:$F$11,K7+1)+INDEX(Pontos!$B$12:$F$12,L7+1)+INDEX(Pontos!$B$13:$F$13,M7+1)+INDEX(Pontos!$B$14:$F$14,N7+1)+IF(O7=1,4,0)+IF(P7=1,2,0)</f>
        <v>32</v>
      </c>
      <c r="R7" s="0" t="str">
        <f aca="false">IF(Q7&gt;=45,"A",IF(Q7&gt;=38,"B1",IF(Q7&gt;=29,"B2",IF(Q7&gt;=23,"C1",IF(Q7&gt;=17,"C2","D-E")))))</f>
        <v>B2</v>
      </c>
    </row>
    <row r="8" customFormat="false" ht="15" hidden="false" customHeight="false" outlineLevel="0" collapsed="false">
      <c r="A8" s="0" t="n">
        <v>7</v>
      </c>
      <c r="B8" s="0" t="n">
        <v>1</v>
      </c>
      <c r="C8" s="0" t="n">
        <v>0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1</v>
      </c>
      <c r="P8" s="0" t="n">
        <v>1</v>
      </c>
      <c r="Q8" s="0" t="n">
        <f aca="false">INDEX(Pontos!$B$2:$F$2,B8+1)+INDEX(Pontos!$B$3:$F$3,C8+1)+INDEX(Pontos!$B$4:$F$4,D8+1)+INDEX(Pontos!$B$5:$F$5,E8+1)+INDEX(Pontos!$B$6:$F$6,F8+1)+INDEX(Pontos!$B$7:$F$7,G8+1)+INDEX(Pontos!$B$8:$F$8,H8+1)+INDEX(Pontos!$B$9:$F$9,I8+1)+INDEX(Pontos!$B$10:$F$10,J8+1)+INDEX(Pontos!$B$11:$F$11,K8+1)+INDEX(Pontos!$B$12:$F$12,L8+1)+INDEX(Pontos!$B$13:$F$13,M8+1)+INDEX(Pontos!$B$14:$F$14,N8+1)+IF(O8=1,4,0)+IF(P8=1,2,0)</f>
        <v>30</v>
      </c>
      <c r="R8" s="0" t="str">
        <f aca="false">IF(Q8&gt;=45,"A",IF(Q8&gt;=38,"B1",IF(Q8&gt;=29,"B2",IF(Q8&gt;=23,"C1",IF(Q8&gt;=17,"C2","D-E")))))</f>
        <v>B2</v>
      </c>
    </row>
    <row r="9" customFormat="false" ht="15" hidden="false" customHeight="false" outlineLevel="0" collapsed="false">
      <c r="A9" s="0" t="n">
        <v>8</v>
      </c>
      <c r="B9" s="0" t="n">
        <v>2</v>
      </c>
      <c r="C9" s="0" t="n">
        <v>0</v>
      </c>
      <c r="D9" s="0" t="n">
        <v>1</v>
      </c>
      <c r="E9" s="0" t="n">
        <v>1</v>
      </c>
      <c r="F9" s="0" t="n">
        <v>0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2</v>
      </c>
      <c r="L9" s="0" t="n">
        <v>0</v>
      </c>
      <c r="M9" s="0" t="n">
        <v>1</v>
      </c>
      <c r="N9" s="0" t="n">
        <v>2</v>
      </c>
      <c r="O9" s="0" t="n">
        <v>1</v>
      </c>
      <c r="P9" s="0" t="n">
        <v>1</v>
      </c>
      <c r="Q9" s="0" t="n">
        <f aca="false">INDEX(Pontos!$B$2:$F$2,B9+1)+INDEX(Pontos!$B$3:$F$3,C9+1)+INDEX(Pontos!$B$4:$F$4,D9+1)+INDEX(Pontos!$B$5:$F$5,E9+1)+INDEX(Pontos!$B$6:$F$6,F9+1)+INDEX(Pontos!$B$7:$F$7,G9+1)+INDEX(Pontos!$B$8:$F$8,H9+1)+INDEX(Pontos!$B$9:$F$9,I9+1)+INDEX(Pontos!$B$10:$F$10,J9+1)+INDEX(Pontos!$B$11:$F$11,K9+1)+INDEX(Pontos!$B$12:$F$12,L9+1)+INDEX(Pontos!$B$13:$F$13,M9+1)+INDEX(Pontos!$B$14:$F$14,N9+1)+IF(O9=1,4,0)+IF(P9=1,2,0)</f>
        <v>34</v>
      </c>
      <c r="R9" s="0" t="str">
        <f aca="false">IF(Q9&gt;=45,"A",IF(Q9&gt;=38,"B1",IF(Q9&gt;=29,"B2",IF(Q9&gt;=23,"C1",IF(Q9&gt;=17,"C2","D-E")))))</f>
        <v>B2</v>
      </c>
    </row>
    <row r="10" customFormat="false" ht="15" hidden="false" customHeight="false" outlineLevel="0" collapsed="false">
      <c r="A10" s="0" t="n">
        <v>9</v>
      </c>
      <c r="B10" s="0" t="n">
        <v>3</v>
      </c>
      <c r="C10" s="0" t="n">
        <v>0</v>
      </c>
      <c r="D10" s="0" t="n">
        <v>2</v>
      </c>
      <c r="E10" s="0" t="n">
        <v>2</v>
      </c>
      <c r="F10" s="0" t="n">
        <v>2</v>
      </c>
      <c r="G10" s="0" t="n">
        <v>2</v>
      </c>
      <c r="H10" s="0" t="n">
        <v>1</v>
      </c>
      <c r="I10" s="0" t="n">
        <v>1</v>
      </c>
      <c r="J10" s="0" t="n">
        <v>1</v>
      </c>
      <c r="K10" s="0" t="n">
        <v>2</v>
      </c>
      <c r="L10" s="0" t="n">
        <v>0</v>
      </c>
      <c r="M10" s="0" t="n">
        <v>1</v>
      </c>
      <c r="N10" s="0" t="n">
        <v>4</v>
      </c>
      <c r="O10" s="0" t="n">
        <v>1</v>
      </c>
      <c r="P10" s="0" t="n">
        <v>1</v>
      </c>
      <c r="Q10" s="0" t="n">
        <f aca="false">INDEX(Pontos!$B$2:$F$2,B10+1)+INDEX(Pontos!$B$3:$F$3,C10+1)+INDEX(Pontos!$B$4:$F$4,D10+1)+INDEX(Pontos!$B$5:$F$5,E10+1)+INDEX(Pontos!$B$6:$F$6,F10+1)+INDEX(Pontos!$B$7:$F$7,G10+1)+INDEX(Pontos!$B$8:$F$8,H10+1)+INDEX(Pontos!$B$9:$F$9,I10+1)+INDEX(Pontos!$B$10:$F$10,J10+1)+INDEX(Pontos!$B$11:$F$11,K10+1)+INDEX(Pontos!$B$12:$F$12,L10+1)+INDEX(Pontos!$B$13:$F$13,M10+1)+INDEX(Pontos!$B$14:$F$14,N10+1)+IF(O10=1,4,0)+IF(P10=1,2,0)</f>
        <v>54</v>
      </c>
      <c r="R10" s="0" t="str">
        <f aca="false">IF(Q10&gt;=45,"A",IF(Q10&gt;=38,"B1",IF(Q10&gt;=29,"B2",IF(Q10&gt;=23,"C1",IF(Q10&gt;=17,"C2","D-E")))))</f>
        <v>A</v>
      </c>
    </row>
    <row r="11" customFormat="false" ht="15" hidden="false" customHeight="false" outlineLevel="0" collapsed="false">
      <c r="A11" s="0" t="n">
        <v>10</v>
      </c>
      <c r="B11" s="0" t="n">
        <v>2</v>
      </c>
      <c r="C11" s="0" t="n">
        <v>0</v>
      </c>
      <c r="D11" s="0" t="n">
        <v>2</v>
      </c>
      <c r="E11" s="0" t="n">
        <v>2</v>
      </c>
      <c r="F11" s="0" t="n">
        <v>0</v>
      </c>
      <c r="G11" s="0" t="n">
        <v>1</v>
      </c>
      <c r="H11" s="0" t="n">
        <v>1</v>
      </c>
      <c r="I11" s="0" t="n">
        <v>2</v>
      </c>
      <c r="J11" s="0" t="n">
        <v>1</v>
      </c>
      <c r="K11" s="0" t="n">
        <v>2</v>
      </c>
      <c r="L11" s="0" t="n">
        <v>0</v>
      </c>
      <c r="M11" s="0" t="n">
        <v>0</v>
      </c>
      <c r="N11" s="0" t="n">
        <v>4</v>
      </c>
      <c r="O11" s="0" t="n">
        <v>1</v>
      </c>
      <c r="P11" s="0" t="n">
        <v>1</v>
      </c>
      <c r="Q11" s="0" t="n">
        <f aca="false">INDEX(Pontos!$B$2:$F$2,B11+1)+INDEX(Pontos!$B$3:$F$3,C11+1)+INDEX(Pontos!$B$4:$F$4,D11+1)+INDEX(Pontos!$B$5:$F$5,E11+1)+INDEX(Pontos!$B$6:$F$6,F11+1)+INDEX(Pontos!$B$7:$F$7,G11+1)+INDEX(Pontos!$B$8:$F$8,H11+1)+INDEX(Pontos!$B$9:$F$9,I11+1)+INDEX(Pontos!$B$10:$F$10,J11+1)+INDEX(Pontos!$B$11:$F$11,K11+1)+INDEX(Pontos!$B$12:$F$12,L11+1)+INDEX(Pontos!$B$13:$F$13,M11+1)+INDEX(Pontos!$B$14:$F$14,N11+1)+IF(O11=1,4,0)+IF(P11=1,2,0)</f>
        <v>44</v>
      </c>
      <c r="R11" s="0" t="str">
        <f aca="false">IF(Q11&gt;=45,"A",IF(Q11&gt;=38,"B1",IF(Q11&gt;=29,"B2",IF(Q11&gt;=23,"C1",IF(Q11&gt;=17,"C2","D-E")))))</f>
        <v>B1</v>
      </c>
    </row>
    <row r="12" customFormat="false" ht="15" hidden="false" customHeight="false" outlineLevel="0" collapsed="false">
      <c r="A12" s="0" t="n">
        <v>11</v>
      </c>
      <c r="B12" s="0" t="n">
        <v>3</v>
      </c>
      <c r="C12" s="0" t="n">
        <v>1</v>
      </c>
      <c r="D12" s="0" t="n">
        <v>2</v>
      </c>
      <c r="E12" s="0" t="n">
        <v>2</v>
      </c>
      <c r="F12" s="0" t="n">
        <v>1</v>
      </c>
      <c r="G12" s="0" t="n">
        <v>2</v>
      </c>
      <c r="H12" s="0" t="n">
        <v>1</v>
      </c>
      <c r="I12" s="0" t="n">
        <v>2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3</v>
      </c>
      <c r="O12" s="0" t="n">
        <v>1</v>
      </c>
      <c r="P12" s="0" t="n">
        <v>1</v>
      </c>
      <c r="Q12" s="0" t="n">
        <f aca="false">INDEX(Pontos!$B$2:$F$2,B12+1)+INDEX(Pontos!$B$3:$F$3,C12+1)+INDEX(Pontos!$B$4:$F$4,D12+1)+INDEX(Pontos!$B$5:$F$5,E12+1)+INDEX(Pontos!$B$6:$F$6,F12+1)+INDEX(Pontos!$B$7:$F$7,G12+1)+INDEX(Pontos!$B$8:$F$8,H12+1)+INDEX(Pontos!$B$9:$F$9,I12+1)+INDEX(Pontos!$B$10:$F$10,J12+1)+INDEX(Pontos!$B$11:$F$11,K12+1)+INDEX(Pontos!$B$12:$F$12,L12+1)+INDEX(Pontos!$B$13:$F$13,M12+1)+INDEX(Pontos!$B$14:$F$14,N12+1)+IF(O12=1,4,0)+IF(P12=1,2,0)</f>
        <v>49</v>
      </c>
      <c r="R12" s="0" t="str">
        <f aca="false">IF(Q12&gt;=45,"A",IF(Q12&gt;=38,"B1",IF(Q12&gt;=29,"B2",IF(Q12&gt;=23,"C1",IF(Q12&gt;=17,"C2","D-E")))))</f>
        <v>A</v>
      </c>
    </row>
    <row r="13" customFormat="false" ht="15" hidden="false" customHeight="false" outlineLevel="0" collapsed="false">
      <c r="A13" s="0" t="n">
        <v>12</v>
      </c>
      <c r="B13" s="0" t="n">
        <v>2</v>
      </c>
      <c r="C13" s="0" t="n">
        <v>0</v>
      </c>
      <c r="D13" s="0" t="n">
        <v>1</v>
      </c>
      <c r="E13" s="0" t="n">
        <v>1</v>
      </c>
      <c r="F13" s="0" t="n">
        <v>0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3</v>
      </c>
      <c r="O13" s="0" t="n">
        <v>1</v>
      </c>
      <c r="P13" s="0" t="n">
        <v>1</v>
      </c>
      <c r="Q13" s="0" t="n">
        <f aca="false">INDEX(Pontos!$B$2:$F$2,B13+1)+INDEX(Pontos!$B$3:$F$3,C13+1)+INDEX(Pontos!$B$4:$F$4,D13+1)+INDEX(Pontos!$B$5:$F$5,E13+1)+INDEX(Pontos!$B$6:$F$6,F13+1)+INDEX(Pontos!$B$7:$F$7,G13+1)+INDEX(Pontos!$B$8:$F$8,H13+1)+INDEX(Pontos!$B$9:$F$9,I13+1)+INDEX(Pontos!$B$10:$F$10,J13+1)+INDEX(Pontos!$B$11:$F$11,K13+1)+INDEX(Pontos!$B$12:$F$12,L13+1)+INDEX(Pontos!$B$13:$F$13,M13+1)+INDEX(Pontos!$B$14:$F$14,N13+1)+IF(O13=1,4,0)+IF(P13=1,2,0)</f>
        <v>34</v>
      </c>
      <c r="R13" s="0" t="str">
        <f aca="false">IF(Q13&gt;=45,"A",IF(Q13&gt;=38,"B1",IF(Q13&gt;=29,"B2",IF(Q13&gt;=23,"C1",IF(Q13&gt;=17,"C2","D-E")))))</f>
        <v>B2</v>
      </c>
    </row>
    <row r="14" customFormat="false" ht="15" hidden="false" customHeight="false" outlineLevel="0" collapsed="false">
      <c r="A14" s="0" t="n">
        <v>13</v>
      </c>
      <c r="B14" s="0" t="n">
        <v>2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2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1</v>
      </c>
      <c r="Q14" s="0" t="n">
        <f aca="false">INDEX(Pontos!$B$2:$F$2,B14+1)+INDEX(Pontos!$B$3:$F$3,C14+1)+INDEX(Pontos!$B$4:$F$4,D14+1)+INDEX(Pontos!$B$5:$F$5,E14+1)+INDEX(Pontos!$B$6:$F$6,F14+1)+INDEX(Pontos!$B$7:$F$7,G14+1)+INDEX(Pontos!$B$8:$F$8,H14+1)+INDEX(Pontos!$B$9:$F$9,I14+1)+INDEX(Pontos!$B$10:$F$10,J14+1)+INDEX(Pontos!$B$11:$F$11,K14+1)+INDEX(Pontos!$B$12:$F$12,L14+1)+INDEX(Pontos!$B$13:$F$13,M14+1)+INDEX(Pontos!$B$14:$F$14,N14+1)+IF(O14=1,4,0)+IF(P14=1,2,0)</f>
        <v>37</v>
      </c>
      <c r="R14" s="0" t="str">
        <f aca="false">IF(Q14&gt;=45,"A",IF(Q14&gt;=38,"B1",IF(Q14&gt;=29,"B2",IF(Q14&gt;=23,"C1",IF(Q14&gt;=17,"C2","D-E")))))</f>
        <v>B2</v>
      </c>
    </row>
    <row r="15" customFormat="false" ht="15" hidden="false" customHeight="false" outlineLevel="0" collapsed="false">
      <c r="A15" s="0" t="n">
        <v>14</v>
      </c>
      <c r="B15" s="0" t="n">
        <v>2</v>
      </c>
      <c r="C15" s="0" t="n">
        <v>0</v>
      </c>
      <c r="D15" s="0" t="n">
        <v>2</v>
      </c>
      <c r="E15" s="0" t="n">
        <v>2</v>
      </c>
      <c r="F15" s="0" t="n">
        <v>1</v>
      </c>
      <c r="G15" s="0" t="n">
        <v>1</v>
      </c>
      <c r="H15" s="0" t="n">
        <v>1</v>
      </c>
      <c r="I15" s="0" t="n">
        <v>2</v>
      </c>
      <c r="J15" s="0" t="n">
        <v>0</v>
      </c>
      <c r="K15" s="0" t="n">
        <v>2</v>
      </c>
      <c r="L15" s="0" t="n">
        <v>0</v>
      </c>
      <c r="M15" s="0" t="n">
        <v>1</v>
      </c>
      <c r="N15" s="0" t="n">
        <v>3</v>
      </c>
      <c r="O15" s="0" t="n">
        <v>1</v>
      </c>
      <c r="P15" s="0" t="n">
        <v>1</v>
      </c>
      <c r="Q15" s="0" t="n">
        <f aca="false">INDEX(Pontos!$B$2:$F$2,B15+1)+INDEX(Pontos!$B$3:$F$3,C15+1)+INDEX(Pontos!$B$4:$F$4,D15+1)+INDEX(Pontos!$B$5:$F$5,E15+1)+INDEX(Pontos!$B$6:$F$6,F15+1)+INDEX(Pontos!$B$7:$F$7,G15+1)+INDEX(Pontos!$B$8:$F$8,H15+1)+INDEX(Pontos!$B$9:$F$9,I15+1)+INDEX(Pontos!$B$10:$F$10,J15+1)+INDEX(Pontos!$B$11:$F$11,K15+1)+INDEX(Pontos!$B$12:$F$12,L15+1)+INDEX(Pontos!$B$13:$F$13,M15+1)+INDEX(Pontos!$B$14:$F$14,N15+1)+IF(O15=1,4,0)+IF(P15=1,2,0)</f>
        <v>45</v>
      </c>
      <c r="R15" s="0" t="str">
        <f aca="false">IF(Q15&gt;=45,"A",IF(Q15&gt;=38,"B1",IF(Q15&gt;=29,"B2",IF(Q15&gt;=23,"C1",IF(Q15&gt;=17,"C2","D-E")))))</f>
        <v>A</v>
      </c>
    </row>
    <row r="16" customFormat="false" ht="15" hidden="false" customHeight="false" outlineLevel="0" collapsed="false">
      <c r="A16" s="0" t="n">
        <v>15</v>
      </c>
      <c r="B16" s="0" t="n">
        <v>1</v>
      </c>
      <c r="C16" s="0" t="n">
        <v>0</v>
      </c>
      <c r="D16" s="0" t="n">
        <v>0</v>
      </c>
      <c r="E16" s="0" t="n">
        <v>2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2</v>
      </c>
      <c r="O16" s="0" t="n">
        <v>1</v>
      </c>
      <c r="P16" s="0" t="n">
        <v>1</v>
      </c>
      <c r="Q16" s="0" t="n">
        <f aca="false">INDEX(Pontos!$B$2:$F$2,B16+1)+INDEX(Pontos!$B$3:$F$3,C16+1)+INDEX(Pontos!$B$4:$F$4,D16+1)+INDEX(Pontos!$B$5:$F$5,E16+1)+INDEX(Pontos!$B$6:$F$6,F16+1)+INDEX(Pontos!$B$7:$F$7,G16+1)+INDEX(Pontos!$B$8:$F$8,H16+1)+INDEX(Pontos!$B$9:$F$9,I16+1)+INDEX(Pontos!$B$10:$F$10,J16+1)+INDEX(Pontos!$B$11:$F$11,K16+1)+INDEX(Pontos!$B$12:$F$12,L16+1)+INDEX(Pontos!$B$13:$F$13,M16+1)+INDEX(Pontos!$B$14:$F$14,N16+1)+IF(O16=1,4,0)+IF(P16=1,2,0)</f>
        <v>26</v>
      </c>
      <c r="R16" s="0" t="str">
        <f aca="false">IF(Q16&gt;=45,"A",IF(Q16&gt;=38,"B1",IF(Q16&gt;=29,"B2",IF(Q16&gt;=23,"C1",IF(Q16&gt;=17,"C2","D-E")))))</f>
        <v>C1</v>
      </c>
    </row>
    <row r="17" customFormat="false" ht="15" hidden="false" customHeight="false" outlineLevel="0" collapsed="false">
      <c r="A17" s="0" t="n">
        <v>16</v>
      </c>
      <c r="B17" s="0" t="n">
        <v>2</v>
      </c>
      <c r="C17" s="0" t="n">
        <v>1</v>
      </c>
      <c r="D17" s="0" t="n">
        <v>1</v>
      </c>
      <c r="E17" s="0" t="n">
        <v>2</v>
      </c>
      <c r="F17" s="0" t="n">
        <v>0</v>
      </c>
      <c r="G17" s="0" t="n">
        <v>1</v>
      </c>
      <c r="H17" s="0" t="n">
        <v>1</v>
      </c>
      <c r="I17" s="0" t="n">
        <v>2</v>
      </c>
      <c r="J17" s="0" t="n">
        <v>1</v>
      </c>
      <c r="K17" s="0" t="n">
        <v>1</v>
      </c>
      <c r="L17" s="0" t="n">
        <v>0</v>
      </c>
      <c r="M17" s="0" t="n">
        <v>1</v>
      </c>
      <c r="N17" s="0" t="n">
        <v>3</v>
      </c>
      <c r="O17" s="0" t="n">
        <v>1</v>
      </c>
      <c r="P17" s="0" t="n">
        <v>1</v>
      </c>
      <c r="Q17" s="0" t="n">
        <f aca="false">INDEX(Pontos!$B$2:$F$2,B17+1)+INDEX(Pontos!$B$3:$F$3,C17+1)+INDEX(Pontos!$B$4:$F$4,D17+1)+INDEX(Pontos!$B$5:$F$5,E17+1)+INDEX(Pontos!$B$6:$F$6,F17+1)+INDEX(Pontos!$B$7:$F$7,G17+1)+INDEX(Pontos!$B$8:$F$8,H17+1)+INDEX(Pontos!$B$9:$F$9,I17+1)+INDEX(Pontos!$B$10:$F$10,J17+1)+INDEX(Pontos!$B$11:$F$11,K17+1)+INDEX(Pontos!$B$12:$F$12,L17+1)+INDEX(Pontos!$B$13:$F$13,M17+1)+INDEX(Pontos!$B$14:$F$14,N17+1)+IF(O17=1,4,0)+IF(P17=1,2,0)</f>
        <v>42</v>
      </c>
      <c r="R17" s="0" t="str">
        <f aca="false">IF(Q17&gt;=45,"A",IF(Q17&gt;=38,"B1",IF(Q17&gt;=29,"B2",IF(Q17&gt;=23,"C1",IF(Q17&gt;=17,"C2","D-E")))))</f>
        <v>B1</v>
      </c>
    </row>
    <row r="18" customFormat="false" ht="15" hidden="false" customHeight="false" outlineLevel="0" collapsed="false">
      <c r="A18" s="0" t="n">
        <v>17</v>
      </c>
      <c r="B18" s="0" t="n">
        <v>2</v>
      </c>
      <c r="C18" s="0" t="n">
        <v>0</v>
      </c>
      <c r="D18" s="0" t="n">
        <v>1</v>
      </c>
      <c r="E18" s="0" t="n">
        <v>1</v>
      </c>
      <c r="F18" s="0" t="n">
        <v>1</v>
      </c>
      <c r="G18" s="0" t="n">
        <v>2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</v>
      </c>
      <c r="N18" s="0" t="n">
        <v>3</v>
      </c>
      <c r="O18" s="0" t="n">
        <v>1</v>
      </c>
      <c r="P18" s="0" t="n">
        <v>1</v>
      </c>
      <c r="Q18" s="0" t="n">
        <f aca="false">INDEX(Pontos!$B$2:$F$2,B18+1)+INDEX(Pontos!$B$3:$F$3,C18+1)+INDEX(Pontos!$B$4:$F$4,D18+1)+INDEX(Pontos!$B$5:$F$5,E18+1)+INDEX(Pontos!$B$6:$F$6,F18+1)+INDEX(Pontos!$B$7:$F$7,G18+1)+INDEX(Pontos!$B$8:$F$8,H18+1)+INDEX(Pontos!$B$9:$F$9,I18+1)+INDEX(Pontos!$B$10:$F$10,J18+1)+INDEX(Pontos!$B$11:$F$11,K18+1)+INDEX(Pontos!$B$12:$F$12,L18+1)+INDEX(Pontos!$B$13:$F$13,M18+1)+INDEX(Pontos!$B$14:$F$14,N18+1)+IF(O18=1,4,0)+IF(P18=1,2,0)</f>
        <v>36</v>
      </c>
      <c r="R18" s="0" t="str">
        <f aca="false">IF(Q18&gt;=45,"A",IF(Q18&gt;=38,"B1",IF(Q18&gt;=29,"B2",IF(Q18&gt;=23,"C1",IF(Q18&gt;=17,"C2","D-E")))))</f>
        <v>B2</v>
      </c>
    </row>
    <row r="19" customFormat="false" ht="15" hidden="false" customHeight="false" outlineLevel="0" collapsed="false">
      <c r="A19" s="0" t="n">
        <v>18</v>
      </c>
      <c r="B19" s="0" t="n">
        <v>1</v>
      </c>
      <c r="C19" s="0" t="n">
        <v>0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2</v>
      </c>
      <c r="O19" s="0" t="n">
        <v>1</v>
      </c>
      <c r="P19" s="0" t="n">
        <v>1</v>
      </c>
      <c r="Q19" s="0" t="n">
        <f aca="false">INDEX(Pontos!$B$2:$F$2,B19+1)+INDEX(Pontos!$B$3:$F$3,C19+1)+INDEX(Pontos!$B$4:$F$4,D19+1)+INDEX(Pontos!$B$5:$F$5,E19+1)+INDEX(Pontos!$B$6:$F$6,F19+1)+INDEX(Pontos!$B$7:$F$7,G19+1)+INDEX(Pontos!$B$8:$F$8,H19+1)+INDEX(Pontos!$B$9:$F$9,I19+1)+INDEX(Pontos!$B$10:$F$10,J19+1)+INDEX(Pontos!$B$11:$F$11,K19+1)+INDEX(Pontos!$B$12:$F$12,L19+1)+INDEX(Pontos!$B$13:$F$13,M19+1)+INDEX(Pontos!$B$14:$F$14,N19+1)+IF(O19=1,4,0)+IF(P19=1,2,0)</f>
        <v>29</v>
      </c>
      <c r="R19" s="0" t="str">
        <f aca="false">IF(Q19&gt;=45,"A",IF(Q19&gt;=38,"B1",IF(Q19&gt;=29,"B2",IF(Q19&gt;=23,"C1",IF(Q19&gt;=17,"C2","D-E")))))</f>
        <v>B2</v>
      </c>
    </row>
    <row r="20" customFormat="false" ht="15" hidden="false" customHeight="false" outlineLevel="0" collapsed="false">
      <c r="A20" s="0" t="n">
        <v>19</v>
      </c>
      <c r="B20" s="0" t="n">
        <v>2</v>
      </c>
      <c r="C20" s="0" t="n">
        <v>0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1</v>
      </c>
      <c r="Q20" s="0" t="n">
        <f aca="false">INDEX(Pontos!$B$2:$F$2,B20+1)+INDEX(Pontos!$B$3:$F$3,C20+1)+INDEX(Pontos!$B$4:$F$4,D20+1)+INDEX(Pontos!$B$5:$F$5,E20+1)+INDEX(Pontos!$B$6:$F$6,F20+1)+INDEX(Pontos!$B$7:$F$7,G20+1)+INDEX(Pontos!$B$8:$F$8,H20+1)+INDEX(Pontos!$B$9:$F$9,I20+1)+INDEX(Pontos!$B$10:$F$10,J20+1)+INDEX(Pontos!$B$11:$F$11,K20+1)+INDEX(Pontos!$B$12:$F$12,L20+1)+INDEX(Pontos!$B$13:$F$13,M20+1)+INDEX(Pontos!$B$14:$F$14,N20+1)+IF(O20=1,4,0)+IF(P20=1,2,0)</f>
        <v>28</v>
      </c>
      <c r="R20" s="0" t="str">
        <f aca="false">IF(Q20&gt;=45,"A",IF(Q20&gt;=38,"B1",IF(Q20&gt;=29,"B2",IF(Q20&gt;=23,"C1",IF(Q20&gt;=17,"C2","D-E")))))</f>
        <v>C1</v>
      </c>
    </row>
    <row r="21" customFormat="false" ht="15" hidden="false" customHeight="false" outlineLevel="0" collapsed="false">
      <c r="A21" s="0" t="n">
        <v>20</v>
      </c>
      <c r="B21" s="0" t="n">
        <v>1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1</v>
      </c>
      <c r="Q21" s="0" t="n">
        <f aca="false">INDEX(Pontos!$B$2:$F$2,B21+1)+INDEX(Pontos!$B$3:$F$3,C21+1)+INDEX(Pontos!$B$4:$F$4,D21+1)+INDEX(Pontos!$B$5:$F$5,E21+1)+INDEX(Pontos!$B$6:$F$6,F21+1)+INDEX(Pontos!$B$7:$F$7,G21+1)+INDEX(Pontos!$B$8:$F$8,H21+1)+INDEX(Pontos!$B$9:$F$9,I21+1)+INDEX(Pontos!$B$10:$F$10,J21+1)+INDEX(Pontos!$B$11:$F$11,K21+1)+INDEX(Pontos!$B$12:$F$12,L21+1)+INDEX(Pontos!$B$13:$F$13,M21+1)+INDEX(Pontos!$B$14:$F$14,N21+1)+IF(O21=1,4,0)+IF(P21=1,2,0)</f>
        <v>16</v>
      </c>
      <c r="R21" s="0" t="str">
        <f aca="false">IF(Q21&gt;=45,"A",IF(Q21&gt;=38,"B1",IF(Q21&gt;=29,"B2",IF(Q21&gt;=23,"C1",IF(Q21&gt;=17,"C2","D-E")))))</f>
        <v>D-E</v>
      </c>
    </row>
    <row r="22" customFormat="false" ht="15" hidden="false" customHeight="false" outlineLevel="0" collapsed="false">
      <c r="A22" s="0" t="n">
        <v>21</v>
      </c>
      <c r="B22" s="0" t="n">
        <v>1</v>
      </c>
      <c r="C22" s="0" t="n">
        <v>0</v>
      </c>
      <c r="D22" s="0" t="n">
        <v>1</v>
      </c>
      <c r="E22" s="0" t="n">
        <v>1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1</v>
      </c>
      <c r="Q22" s="0" t="n">
        <f aca="false">INDEX(Pontos!$B$2:$F$2,B22+1)+INDEX(Pontos!$B$3:$F$3,C22+1)+INDEX(Pontos!$B$4:$F$4,D22+1)+INDEX(Pontos!$B$5:$F$5,E22+1)+INDEX(Pontos!$B$6:$F$6,F22+1)+INDEX(Pontos!$B$7:$F$7,G22+1)+INDEX(Pontos!$B$8:$F$8,H22+1)+INDEX(Pontos!$B$9:$F$9,I22+1)+INDEX(Pontos!$B$10:$F$10,J22+1)+INDEX(Pontos!$B$11:$F$11,K22+1)+INDEX(Pontos!$B$12:$F$12,L22+1)+INDEX(Pontos!$B$13:$F$13,M22+1)+INDEX(Pontos!$B$14:$F$14,N22+1)+IF(O22=1,4,0)+IF(P22=1,2,0)</f>
        <v>21</v>
      </c>
      <c r="R22" s="0" t="str">
        <f aca="false">IF(Q22&gt;=45,"A",IF(Q22&gt;=38,"B1",IF(Q22&gt;=29,"B2",IF(Q22&gt;=23,"C1",IF(Q22&gt;=17,"C2","D-E")))))</f>
        <v>C2</v>
      </c>
    </row>
    <row r="23" customFormat="false" ht="15" hidden="false" customHeight="false" outlineLevel="0" collapsed="false">
      <c r="A23" s="0" t="n">
        <v>22</v>
      </c>
      <c r="B23" s="0" t="n">
        <v>2</v>
      </c>
      <c r="C23" s="0" t="n">
        <v>0</v>
      </c>
      <c r="D23" s="0" t="n">
        <v>2</v>
      </c>
      <c r="E23" s="0" t="n">
        <v>1</v>
      </c>
      <c r="F23" s="0" t="n">
        <v>0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1</v>
      </c>
      <c r="N23" s="0" t="n">
        <v>2</v>
      </c>
      <c r="O23" s="0" t="n">
        <v>1</v>
      </c>
      <c r="P23" s="0" t="n">
        <v>1</v>
      </c>
      <c r="Q23" s="0" t="n">
        <f aca="false">INDEX(Pontos!$B$2:$F$2,B23+1)+INDEX(Pontos!$B$3:$F$3,C23+1)+INDEX(Pontos!$B$4:$F$4,D23+1)+INDEX(Pontos!$B$5:$F$5,E23+1)+INDEX(Pontos!$B$6:$F$6,F23+1)+INDEX(Pontos!$B$7:$F$7,G23+1)+INDEX(Pontos!$B$8:$F$8,H23+1)+INDEX(Pontos!$B$9:$F$9,I23+1)+INDEX(Pontos!$B$10:$F$10,J23+1)+INDEX(Pontos!$B$11:$F$11,K23+1)+INDEX(Pontos!$B$12:$F$12,L23+1)+INDEX(Pontos!$B$13:$F$13,M23+1)+INDEX(Pontos!$B$14:$F$14,N23+1)+IF(O23=1,4,0)+IF(P23=1,2,0)</f>
        <v>34</v>
      </c>
      <c r="R23" s="0" t="str">
        <f aca="false">IF(Q23&gt;=45,"A",IF(Q23&gt;=38,"B1",IF(Q23&gt;=29,"B2",IF(Q23&gt;=23,"C1",IF(Q23&gt;=17,"C2","D-E")))))</f>
        <v>B2</v>
      </c>
    </row>
    <row r="24" customFormat="false" ht="15" hidden="false" customHeight="false" outlineLevel="0" collapsed="false">
      <c r="A24" s="0" t="n">
        <v>23</v>
      </c>
      <c r="B24" s="0" t="n">
        <v>2</v>
      </c>
      <c r="C24" s="0" t="n">
        <v>0</v>
      </c>
      <c r="D24" s="0" t="n">
        <v>1</v>
      </c>
      <c r="E24" s="0" t="n">
        <v>1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f aca="false">INDEX(Pontos!$B$2:$F$2,B24+1)+INDEX(Pontos!$B$3:$F$3,C24+1)+INDEX(Pontos!$B$4:$F$4,D24+1)+INDEX(Pontos!$B$5:$F$5,E24+1)+INDEX(Pontos!$B$6:$F$6,F24+1)+INDEX(Pontos!$B$7:$F$7,G24+1)+INDEX(Pontos!$B$8:$F$8,H24+1)+INDEX(Pontos!$B$9:$F$9,I24+1)+INDEX(Pontos!$B$10:$F$10,J24+1)+INDEX(Pontos!$B$11:$F$11,K24+1)+INDEX(Pontos!$B$12:$F$12,L24+1)+INDEX(Pontos!$B$13:$F$13,M24+1)+INDEX(Pontos!$B$14:$F$14,N24+1)+IF(O24=1,4,0)+IF(P24=1,2,0)</f>
        <v>24</v>
      </c>
      <c r="R24" s="0" t="str">
        <f aca="false">IF(Q24&gt;=45,"A",IF(Q24&gt;=38,"B1",IF(Q24&gt;=29,"B2",IF(Q24&gt;=23,"C1",IF(Q24&gt;=17,"C2","D-E")))))</f>
        <v>C1</v>
      </c>
    </row>
    <row r="25" customFormat="false" ht="15" hidden="false" customHeight="false" outlineLevel="0" collapsed="false">
      <c r="A25" s="0" t="n">
        <v>24</v>
      </c>
      <c r="B25" s="0" t="n">
        <v>2</v>
      </c>
      <c r="C25" s="0" t="n">
        <v>0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3</v>
      </c>
      <c r="O25" s="0" t="n">
        <v>1</v>
      </c>
      <c r="P25" s="0" t="n">
        <v>1</v>
      </c>
      <c r="Q25" s="0" t="n">
        <f aca="false">INDEX(Pontos!$B$2:$F$2,B25+1)+INDEX(Pontos!$B$3:$F$3,C25+1)+INDEX(Pontos!$B$4:$F$4,D25+1)+INDEX(Pontos!$B$5:$F$5,E25+1)+INDEX(Pontos!$B$6:$F$6,F25+1)+INDEX(Pontos!$B$7:$F$7,G25+1)+INDEX(Pontos!$B$8:$F$8,H25+1)+INDEX(Pontos!$B$9:$F$9,I25+1)+INDEX(Pontos!$B$10:$F$10,J25+1)+INDEX(Pontos!$B$11:$F$11,K25+1)+INDEX(Pontos!$B$12:$F$12,L25+1)+INDEX(Pontos!$B$13:$F$13,M25+1)+INDEX(Pontos!$B$14:$F$14,N25+1)+IF(O25=1,4,0)+IF(P25=1,2,0)</f>
        <v>35</v>
      </c>
      <c r="R25" s="0" t="str">
        <f aca="false">IF(Q25&gt;=45,"A",IF(Q25&gt;=38,"B1",IF(Q25&gt;=29,"B2",IF(Q25&gt;=23,"C1",IF(Q25&gt;=17,"C2","D-E")))))</f>
        <v>B2</v>
      </c>
    </row>
    <row r="26" customFormat="false" ht="15" hidden="false" customHeight="false" outlineLevel="0" collapsed="false">
      <c r="A26" s="0" t="n">
        <v>25</v>
      </c>
      <c r="B26" s="0" t="n">
        <v>2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2</v>
      </c>
      <c r="L26" s="0" t="n">
        <v>0</v>
      </c>
      <c r="M26" s="0" t="n">
        <v>1</v>
      </c>
      <c r="N26" s="0" t="n">
        <v>2</v>
      </c>
      <c r="O26" s="0" t="n">
        <v>1</v>
      </c>
      <c r="P26" s="0" t="n">
        <v>1</v>
      </c>
      <c r="Q26" s="0" t="n">
        <f aca="false">INDEX(Pontos!$B$2:$F$2,B26+1)+INDEX(Pontos!$B$3:$F$3,C26+1)+INDEX(Pontos!$B$4:$F$4,D26+1)+INDEX(Pontos!$B$5:$F$5,E26+1)+INDEX(Pontos!$B$6:$F$6,F26+1)+INDEX(Pontos!$B$7:$F$7,G26+1)+INDEX(Pontos!$B$8:$F$8,H26+1)+INDEX(Pontos!$B$9:$F$9,I26+1)+INDEX(Pontos!$B$10:$F$10,J26+1)+INDEX(Pontos!$B$11:$F$11,K26+1)+INDEX(Pontos!$B$12:$F$12,L26+1)+INDEX(Pontos!$B$13:$F$13,M26+1)+INDEX(Pontos!$B$14:$F$14,N26+1)+IF(O26=1,4,0)+IF(P26=1,2,0)</f>
        <v>39</v>
      </c>
      <c r="R26" s="0" t="str">
        <f aca="false">IF(Q26&gt;=45,"A",IF(Q26&gt;=38,"B1",IF(Q26&gt;=29,"B2",IF(Q26&gt;=23,"C1",IF(Q26&gt;=17,"C2","D-E")))))</f>
        <v>B1</v>
      </c>
    </row>
    <row r="27" customFormat="false" ht="15" hidden="false" customHeight="false" outlineLevel="0" collapsed="false">
      <c r="A27" s="0" t="n">
        <v>26</v>
      </c>
      <c r="B27" s="0" t="n">
        <v>1</v>
      </c>
      <c r="C27" s="0" t="n">
        <v>1</v>
      </c>
      <c r="D27" s="0" t="n">
        <v>1</v>
      </c>
      <c r="E27" s="0" t="n">
        <v>2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1</v>
      </c>
      <c r="Q27" s="0" t="n">
        <f aca="false">INDEX(Pontos!$B$2:$F$2,B27+1)+INDEX(Pontos!$B$3:$F$3,C27+1)+INDEX(Pontos!$B$4:$F$4,D27+1)+INDEX(Pontos!$B$5:$F$5,E27+1)+INDEX(Pontos!$B$6:$F$6,F27+1)+INDEX(Pontos!$B$7:$F$7,G27+1)+INDEX(Pontos!$B$8:$F$8,H27+1)+INDEX(Pontos!$B$9:$F$9,I27+1)+INDEX(Pontos!$B$10:$F$10,J27+1)+INDEX(Pontos!$B$11:$F$11,K27+1)+INDEX(Pontos!$B$12:$F$12,L27+1)+INDEX(Pontos!$B$13:$F$13,M27+1)+INDEX(Pontos!$B$14:$F$14,N27+1)+IF(O27=1,4,0)+IF(P27=1,2,0)</f>
        <v>34</v>
      </c>
      <c r="R27" s="0" t="str">
        <f aca="false">IF(Q27&gt;=45,"A",IF(Q27&gt;=38,"B1",IF(Q27&gt;=29,"B2",IF(Q27&gt;=23,"C1",IF(Q27&gt;=17,"C2","D-E")))))</f>
        <v>B2</v>
      </c>
    </row>
    <row r="28" customFormat="false" ht="15" hidden="false" customHeight="false" outlineLevel="0" collapsed="false">
      <c r="A28" s="0" t="n">
        <v>27</v>
      </c>
      <c r="B28" s="0" t="n">
        <v>1</v>
      </c>
      <c r="C28" s="0" t="n">
        <v>0</v>
      </c>
      <c r="D28" s="0" t="n">
        <v>1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1</v>
      </c>
      <c r="Q28" s="0" t="n">
        <f aca="false">INDEX(Pontos!$B$2:$F$2,B28+1)+INDEX(Pontos!$B$3:$F$3,C28+1)+INDEX(Pontos!$B$4:$F$4,D28+1)+INDEX(Pontos!$B$5:$F$5,E28+1)+INDEX(Pontos!$B$6:$F$6,F28+1)+INDEX(Pontos!$B$7:$F$7,G28+1)+INDEX(Pontos!$B$8:$F$8,H28+1)+INDEX(Pontos!$B$9:$F$9,I28+1)+INDEX(Pontos!$B$10:$F$10,J28+1)+INDEX(Pontos!$B$11:$F$11,K28+1)+INDEX(Pontos!$B$12:$F$12,L28+1)+INDEX(Pontos!$B$13:$F$13,M28+1)+INDEX(Pontos!$B$14:$F$14,N28+1)+IF(O28=1,4,0)+IF(P28=1,2,0)</f>
        <v>20</v>
      </c>
      <c r="R28" s="0" t="str">
        <f aca="false">IF(Q28&gt;=45,"A",IF(Q28&gt;=38,"B1",IF(Q28&gt;=29,"B2",IF(Q28&gt;=23,"C1",IF(Q28&gt;=17,"C2","D-E")))))</f>
        <v>C2</v>
      </c>
    </row>
    <row r="29" customFormat="false" ht="15" hidden="false" customHeight="false" outlineLevel="0" collapsed="false">
      <c r="A29" s="0" t="n">
        <v>28</v>
      </c>
      <c r="B29" s="0" t="n">
        <v>2</v>
      </c>
      <c r="C29" s="0" t="n">
        <v>1</v>
      </c>
      <c r="D29" s="0" t="n">
        <v>2</v>
      </c>
      <c r="E29" s="0" t="n">
        <v>2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3</v>
      </c>
      <c r="O29" s="0" t="n">
        <v>1</v>
      </c>
      <c r="P29" s="0" t="n">
        <v>0</v>
      </c>
      <c r="Q29" s="0" t="n">
        <f aca="false">INDEX(Pontos!$B$2:$F$2,B29+1)+INDEX(Pontos!$B$3:$F$3,C29+1)+INDEX(Pontos!$B$4:$F$4,D29+1)+INDEX(Pontos!$B$5:$F$5,E29+1)+INDEX(Pontos!$B$6:$F$6,F29+1)+INDEX(Pontos!$B$7:$F$7,G29+1)+INDEX(Pontos!$B$8:$F$8,H29+1)+INDEX(Pontos!$B$9:$F$9,I29+1)+INDEX(Pontos!$B$10:$F$10,J29+1)+INDEX(Pontos!$B$11:$F$11,K29+1)+INDEX(Pontos!$B$12:$F$12,L29+1)+INDEX(Pontos!$B$13:$F$13,M29+1)+INDEX(Pontos!$B$14:$F$14,N29+1)+IF(O29=1,4,0)+IF(P29=1,2,0)</f>
        <v>40</v>
      </c>
      <c r="R29" s="0" t="str">
        <f aca="false">IF(Q29&gt;=45,"A",IF(Q29&gt;=38,"B1",IF(Q29&gt;=29,"B2",IF(Q29&gt;=23,"C1",IF(Q29&gt;=17,"C2","D-E")))))</f>
        <v>B1</v>
      </c>
    </row>
    <row r="30" customFormat="false" ht="15" hidden="false" customHeight="false" outlineLevel="0" collapsed="false">
      <c r="A30" s="0" t="n">
        <v>29</v>
      </c>
      <c r="B30" s="0" t="n">
        <v>1</v>
      </c>
      <c r="C30" s="0" t="n">
        <v>0</v>
      </c>
      <c r="D30" s="0" t="n">
        <v>1</v>
      </c>
      <c r="E30" s="0" t="n">
        <v>1</v>
      </c>
      <c r="F30" s="0" t="n">
        <v>0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0</v>
      </c>
      <c r="Q30" s="0" t="n">
        <f aca="false">INDEX(Pontos!$B$2:$F$2,B30+1)+INDEX(Pontos!$B$3:$F$3,C30+1)+INDEX(Pontos!$B$4:$F$4,D30+1)+INDEX(Pontos!$B$5:$F$5,E30+1)+INDEX(Pontos!$B$6:$F$6,F30+1)+INDEX(Pontos!$B$7:$F$7,G30+1)+INDEX(Pontos!$B$8:$F$8,H30+1)+INDEX(Pontos!$B$9:$F$9,I30+1)+INDEX(Pontos!$B$10:$F$10,J30+1)+INDEX(Pontos!$B$11:$F$11,K30+1)+INDEX(Pontos!$B$12:$F$12,L30+1)+INDEX(Pontos!$B$13:$F$13,M30+1)+INDEX(Pontos!$B$14:$F$14,N30+1)+IF(O30=1,4,0)+IF(P30=1,2,0)</f>
        <v>26</v>
      </c>
      <c r="R30" s="0" t="str">
        <f aca="false">IF(Q30&gt;=45,"A",IF(Q30&gt;=38,"B1",IF(Q30&gt;=29,"B2",IF(Q30&gt;=23,"C1",IF(Q30&gt;=17,"C2","D-E")))))</f>
        <v>C1</v>
      </c>
    </row>
    <row r="31" customFormat="false" ht="15" hidden="false" customHeight="false" outlineLevel="0" collapsed="false">
      <c r="A31" s="0" t="n">
        <v>30</v>
      </c>
      <c r="B31" s="0" t="n">
        <v>2</v>
      </c>
      <c r="C31" s="0" t="n">
        <v>1</v>
      </c>
      <c r="D31" s="0" t="n">
        <v>2</v>
      </c>
      <c r="E31" s="0" t="n">
        <v>2</v>
      </c>
      <c r="F31" s="0" t="n">
        <v>1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1</v>
      </c>
      <c r="Q31" s="0" t="n">
        <f aca="false">INDEX(Pontos!$B$2:$F$2,B31+1)+INDEX(Pontos!$B$3:$F$3,C31+1)+INDEX(Pontos!$B$4:$F$4,D31+1)+INDEX(Pontos!$B$5:$F$5,E31+1)+INDEX(Pontos!$B$6:$F$6,F31+1)+INDEX(Pontos!$B$7:$F$7,G31+1)+INDEX(Pontos!$B$8:$F$8,H31+1)+INDEX(Pontos!$B$9:$F$9,I31+1)+INDEX(Pontos!$B$10:$F$10,J31+1)+INDEX(Pontos!$B$11:$F$11,K31+1)+INDEX(Pontos!$B$12:$F$12,L31+1)+INDEX(Pontos!$B$13:$F$13,M31+1)+INDEX(Pontos!$B$14:$F$14,N31+1)+IF(O31=1,4,0)+IF(P31=1,2,0)</f>
        <v>39</v>
      </c>
      <c r="R31" s="0" t="str">
        <f aca="false">IF(Q31&gt;=45,"A",IF(Q31&gt;=38,"B1",IF(Q31&gt;=29,"B2",IF(Q31&gt;=23,"C1",IF(Q31&gt;=17,"C2","D-E")))))</f>
        <v>B1</v>
      </c>
    </row>
    <row r="32" customFormat="false" ht="15" hidden="false" customHeight="false" outlineLevel="0" collapsed="false">
      <c r="A32" s="0" t="n">
        <v>31</v>
      </c>
      <c r="B32" s="0" t="n">
        <v>2</v>
      </c>
      <c r="C32" s="0" t="n">
        <v>0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2</v>
      </c>
      <c r="L32" s="0" t="n">
        <v>0</v>
      </c>
      <c r="M32" s="0" t="n">
        <v>1</v>
      </c>
      <c r="N32" s="0" t="n">
        <v>3</v>
      </c>
      <c r="O32" s="0" t="n">
        <v>1</v>
      </c>
      <c r="P32" s="0" t="n">
        <v>1</v>
      </c>
      <c r="Q32" s="0" t="n">
        <f aca="false">INDEX(Pontos!$B$2:$F$2,B32+1)+INDEX(Pontos!$B$3:$F$3,C32+1)+INDEX(Pontos!$B$4:$F$4,D32+1)+INDEX(Pontos!$B$5:$F$5,E32+1)+INDEX(Pontos!$B$6:$F$6,F32+1)+INDEX(Pontos!$B$7:$F$7,G32+1)+INDEX(Pontos!$B$8:$F$8,H32+1)+INDEX(Pontos!$B$9:$F$9,I32+1)+INDEX(Pontos!$B$10:$F$10,J32+1)+INDEX(Pontos!$B$11:$F$11,K32+1)+INDEX(Pontos!$B$12:$F$12,L32+1)+INDEX(Pontos!$B$13:$F$13,M32+1)+INDEX(Pontos!$B$14:$F$14,N32+1)+IF(O32=1,4,0)+IF(P32=1,2,0)</f>
        <v>39</v>
      </c>
      <c r="R32" s="0" t="str">
        <f aca="false">IF(Q32&gt;=45,"A",IF(Q32&gt;=38,"B1",IF(Q32&gt;=29,"B2",IF(Q32&gt;=23,"C1",IF(Q32&gt;=17,"C2","D-E")))))</f>
        <v>B1</v>
      </c>
    </row>
    <row r="33" customFormat="false" ht="15" hidden="false" customHeight="false" outlineLevel="0" collapsed="false">
      <c r="A33" s="0" t="n">
        <v>32</v>
      </c>
      <c r="B33" s="0" t="n">
        <v>1</v>
      </c>
      <c r="C33" s="0" t="n">
        <v>1</v>
      </c>
      <c r="D33" s="0" t="n">
        <v>1</v>
      </c>
      <c r="E33" s="0" t="n">
        <v>2</v>
      </c>
      <c r="F33" s="0" t="n">
        <v>1</v>
      </c>
      <c r="G33" s="0" t="n">
        <v>2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1</v>
      </c>
      <c r="N33" s="0" t="n">
        <v>3</v>
      </c>
      <c r="O33" s="0" t="n">
        <v>1</v>
      </c>
      <c r="P33" s="0" t="n">
        <v>1</v>
      </c>
      <c r="Q33" s="0" t="n">
        <f aca="false">INDEX(Pontos!$B$2:$F$2,B33+1)+INDEX(Pontos!$B$3:$F$3,C33+1)+INDEX(Pontos!$B$4:$F$4,D33+1)+INDEX(Pontos!$B$5:$F$5,E33+1)+INDEX(Pontos!$B$6:$F$6,F33+1)+INDEX(Pontos!$B$7:$F$7,G33+1)+INDEX(Pontos!$B$8:$F$8,H33+1)+INDEX(Pontos!$B$9:$F$9,I33+1)+INDEX(Pontos!$B$10:$F$10,J33+1)+INDEX(Pontos!$B$11:$F$11,K33+1)+INDEX(Pontos!$B$12:$F$12,L33+1)+INDEX(Pontos!$B$13:$F$13,M33+1)+INDEX(Pontos!$B$14:$F$14,N33+1)+IF(O33=1,4,0)+IF(P33=1,2,0)</f>
        <v>40</v>
      </c>
      <c r="R33" s="0" t="str">
        <f aca="false">IF(Q33&gt;=45,"A",IF(Q33&gt;=38,"B1",IF(Q33&gt;=29,"B2",IF(Q33&gt;=23,"C1",IF(Q33&gt;=17,"C2","D-E")))))</f>
        <v>B1</v>
      </c>
    </row>
    <row r="34" customFormat="false" ht="15" hidden="false" customHeight="false" outlineLevel="0" collapsed="false">
      <c r="A34" s="0" t="n">
        <v>33</v>
      </c>
      <c r="B34" s="0" t="n">
        <v>2</v>
      </c>
      <c r="C34" s="0" t="n">
        <v>0</v>
      </c>
      <c r="D34" s="0" t="n">
        <v>1</v>
      </c>
      <c r="E34" s="0" t="n">
        <v>1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1</v>
      </c>
      <c r="Q34" s="0" t="n">
        <f aca="false">INDEX(Pontos!$B$2:$F$2,B34+1)+INDEX(Pontos!$B$3:$F$3,C34+1)+INDEX(Pontos!$B$4:$F$4,D34+1)+INDEX(Pontos!$B$5:$F$5,E34+1)+INDEX(Pontos!$B$6:$F$6,F34+1)+INDEX(Pontos!$B$7:$F$7,G34+1)+INDEX(Pontos!$B$8:$F$8,H34+1)+INDEX(Pontos!$B$9:$F$9,I34+1)+INDEX(Pontos!$B$10:$F$10,J34+1)+INDEX(Pontos!$B$11:$F$11,K34+1)+INDEX(Pontos!$B$12:$F$12,L34+1)+INDEX(Pontos!$B$13:$F$13,M34+1)+INDEX(Pontos!$B$14:$F$14,N34+1)+IF(O34=1,4,0)+IF(P34=1,2,0)</f>
        <v>27</v>
      </c>
      <c r="R34" s="0" t="str">
        <f aca="false">IF(Q34&gt;=45,"A",IF(Q34&gt;=38,"B1",IF(Q34&gt;=29,"B2",IF(Q34&gt;=23,"C1",IF(Q34&gt;=17,"C2","D-E")))))</f>
        <v>C1</v>
      </c>
    </row>
    <row r="35" customFormat="false" ht="15" hidden="false" customHeight="false" outlineLevel="0" collapsed="false">
      <c r="A35" s="0" t="n">
        <v>34</v>
      </c>
      <c r="B35" s="0" t="n">
        <v>2</v>
      </c>
      <c r="C35" s="0" t="n">
        <v>0</v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2</v>
      </c>
      <c r="O35" s="0" t="n">
        <v>1</v>
      </c>
      <c r="P35" s="0" t="n">
        <v>1</v>
      </c>
      <c r="Q35" s="0" t="n">
        <f aca="false">INDEX(Pontos!$B$2:$F$2,B35+1)+INDEX(Pontos!$B$3:$F$3,C35+1)+INDEX(Pontos!$B$4:$F$4,D35+1)+INDEX(Pontos!$B$5:$F$5,E35+1)+INDEX(Pontos!$B$6:$F$6,F35+1)+INDEX(Pontos!$B$7:$F$7,G35+1)+INDEX(Pontos!$B$8:$F$8,H35+1)+INDEX(Pontos!$B$9:$F$9,I35+1)+INDEX(Pontos!$B$10:$F$10,J35+1)+INDEX(Pontos!$B$11:$F$11,K35+1)+INDEX(Pontos!$B$12:$F$12,L35+1)+INDEX(Pontos!$B$13:$F$13,M35+1)+INDEX(Pontos!$B$14:$F$14,N35+1)+IF(O35=1,4,0)+IF(P35=1,2,0)</f>
        <v>34</v>
      </c>
      <c r="R35" s="0" t="str">
        <f aca="false">IF(Q35&gt;=45,"A",IF(Q35&gt;=38,"B1",IF(Q35&gt;=29,"B2",IF(Q35&gt;=23,"C1",IF(Q35&gt;=17,"C2","D-E")))))</f>
        <v>B2</v>
      </c>
    </row>
    <row r="36" customFormat="false" ht="15" hidden="false" customHeight="false" outlineLevel="0" collapsed="false">
      <c r="A36" s="0" t="n">
        <v>35</v>
      </c>
      <c r="B36" s="0" t="n">
        <v>2</v>
      </c>
      <c r="C36" s="0" t="n">
        <v>1</v>
      </c>
      <c r="D36" s="0" t="n">
        <v>1</v>
      </c>
      <c r="E36" s="0" t="n">
        <v>3</v>
      </c>
      <c r="F36" s="0" t="n">
        <v>1</v>
      </c>
      <c r="G36" s="0" t="n">
        <v>1</v>
      </c>
      <c r="H36" s="0" t="n">
        <v>1</v>
      </c>
      <c r="I36" s="0" t="n">
        <v>2</v>
      </c>
      <c r="J36" s="0" t="n">
        <v>1</v>
      </c>
      <c r="K36" s="0" t="n">
        <v>2</v>
      </c>
      <c r="L36" s="0" t="n">
        <v>0</v>
      </c>
      <c r="M36" s="0" t="n">
        <v>1</v>
      </c>
      <c r="N36" s="0" t="n">
        <v>4</v>
      </c>
      <c r="O36" s="0" t="n">
        <v>1</v>
      </c>
      <c r="P36" s="0" t="n">
        <v>0</v>
      </c>
      <c r="Q36" s="0" t="n">
        <f aca="false">INDEX(Pontos!$B$2:$F$2,B36+1)+INDEX(Pontos!$B$3:$F$3,C36+1)+INDEX(Pontos!$B$4:$F$4,D36+1)+INDEX(Pontos!$B$5:$F$5,E36+1)+INDEX(Pontos!$B$6:$F$6,F36+1)+INDEX(Pontos!$B$7:$F$7,G36+1)+INDEX(Pontos!$B$8:$F$8,H36+1)+INDEX(Pontos!$B$9:$F$9,I36+1)+INDEX(Pontos!$B$10:$F$10,J36+1)+INDEX(Pontos!$B$11:$F$11,K36+1)+INDEX(Pontos!$B$12:$F$12,L36+1)+INDEX(Pontos!$B$13:$F$13,M36+1)+INDEX(Pontos!$B$14:$F$14,N36+1)+IF(O36=1,4,0)+IF(P36=1,2,0)</f>
        <v>50</v>
      </c>
      <c r="R36" s="0" t="str">
        <f aca="false">IF(Q36&gt;=45,"A",IF(Q36&gt;=38,"B1",IF(Q36&gt;=29,"B2",IF(Q36&gt;=23,"C1",IF(Q36&gt;=17,"C2","D-E")))))</f>
        <v>A</v>
      </c>
    </row>
    <row r="37" customFormat="false" ht="15" hidden="false" customHeight="false" outlineLevel="0" collapsed="false">
      <c r="A37" s="0" t="n">
        <v>36</v>
      </c>
      <c r="B37" s="0" t="n">
        <v>2</v>
      </c>
      <c r="C37" s="0" t="n">
        <v>0</v>
      </c>
      <c r="D37" s="0" t="n">
        <v>1</v>
      </c>
      <c r="E37" s="0" t="n">
        <v>2</v>
      </c>
      <c r="F37" s="0" t="n">
        <v>1</v>
      </c>
      <c r="G37" s="0" t="n">
        <v>1</v>
      </c>
      <c r="H37" s="0" t="n">
        <v>2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1</v>
      </c>
      <c r="Q37" s="0" t="n">
        <f aca="false">INDEX(Pontos!$B$2:$F$2,B37+1)+INDEX(Pontos!$B$3:$F$3,C37+1)+INDEX(Pontos!$B$4:$F$4,D37+1)+INDEX(Pontos!$B$5:$F$5,E37+1)+INDEX(Pontos!$B$6:$F$6,F37+1)+INDEX(Pontos!$B$7:$F$7,G37+1)+INDEX(Pontos!$B$8:$F$8,H37+1)+INDEX(Pontos!$B$9:$F$9,I37+1)+INDEX(Pontos!$B$10:$F$10,J37+1)+INDEX(Pontos!$B$11:$F$11,K37+1)+INDEX(Pontos!$B$12:$F$12,L37+1)+INDEX(Pontos!$B$13:$F$13,M37+1)+INDEX(Pontos!$B$14:$F$14,N37+1)+IF(O37=1,4,0)+IF(P37=1,2,0)</f>
        <v>38</v>
      </c>
      <c r="R37" s="0" t="str">
        <f aca="false">IF(Q37&gt;=45,"A",IF(Q37&gt;=38,"B1",IF(Q37&gt;=29,"B2",IF(Q37&gt;=23,"C1",IF(Q37&gt;=17,"C2","D-E")))))</f>
        <v>B1</v>
      </c>
    </row>
    <row r="38" customFormat="false" ht="15" hidden="false" customHeight="false" outlineLevel="0" collapsed="false">
      <c r="A38" s="0" t="n">
        <v>37</v>
      </c>
      <c r="B38" s="0" t="n">
        <v>2</v>
      </c>
      <c r="C38" s="0" t="n">
        <v>1</v>
      </c>
      <c r="D38" s="0" t="n">
        <v>1</v>
      </c>
      <c r="E38" s="0" t="n">
        <v>1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f aca="false">INDEX(Pontos!$B$2:$F$2,B38+1)+INDEX(Pontos!$B$3:$F$3,C38+1)+INDEX(Pontos!$B$4:$F$4,D38+1)+INDEX(Pontos!$B$5:$F$5,E38+1)+INDEX(Pontos!$B$6:$F$6,F38+1)+INDEX(Pontos!$B$7:$F$7,G38+1)+INDEX(Pontos!$B$8:$F$8,H38+1)+INDEX(Pontos!$B$9:$F$9,I38+1)+INDEX(Pontos!$B$10:$F$10,J38+1)+INDEX(Pontos!$B$11:$F$11,K38+1)+INDEX(Pontos!$B$12:$F$12,L38+1)+INDEX(Pontos!$B$13:$F$13,M38+1)+INDEX(Pontos!$B$14:$F$14,N38+1)+IF(O38=1,4,0)+IF(P38=1,2,0)</f>
        <v>27</v>
      </c>
      <c r="R38" s="0" t="str">
        <f aca="false">IF(Q38&gt;=45,"A",IF(Q38&gt;=38,"B1",IF(Q38&gt;=29,"B2",IF(Q38&gt;=23,"C1",IF(Q38&gt;=17,"C2","D-E")))))</f>
        <v>C1</v>
      </c>
    </row>
    <row r="39" customFormat="false" ht="15" hidden="false" customHeight="false" outlineLevel="0" collapsed="false">
      <c r="A39" s="0" t="n">
        <v>38</v>
      </c>
      <c r="B39" s="0" t="n">
        <v>3</v>
      </c>
      <c r="C39" s="0" t="n">
        <v>0</v>
      </c>
      <c r="D39" s="0" t="n">
        <v>2</v>
      </c>
      <c r="E39" s="0" t="n">
        <v>2</v>
      </c>
      <c r="F39" s="0" t="n">
        <v>1</v>
      </c>
      <c r="G39" s="0" t="n">
        <v>2</v>
      </c>
      <c r="H39" s="0" t="n">
        <v>1</v>
      </c>
      <c r="I39" s="0" t="n">
        <v>2</v>
      </c>
      <c r="J39" s="0" t="n">
        <v>1</v>
      </c>
      <c r="K39" s="0" t="n">
        <v>1</v>
      </c>
      <c r="L39" s="0" t="n">
        <v>0</v>
      </c>
      <c r="M39" s="0" t="n">
        <v>1</v>
      </c>
      <c r="N39" s="0" t="n">
        <v>4</v>
      </c>
      <c r="O39" s="0" t="n">
        <v>1</v>
      </c>
      <c r="P39" s="0" t="n">
        <v>1</v>
      </c>
      <c r="Q39" s="0" t="n">
        <f aca="false">INDEX(Pontos!$B$2:$F$2,B39+1)+INDEX(Pontos!$B$3:$F$3,C39+1)+INDEX(Pontos!$B$4:$F$4,D39+1)+INDEX(Pontos!$B$5:$F$5,E39+1)+INDEX(Pontos!$B$6:$F$6,F39+1)+INDEX(Pontos!$B$7:$F$7,G39+1)+INDEX(Pontos!$B$8:$F$8,H39+1)+INDEX(Pontos!$B$9:$F$9,I39+1)+INDEX(Pontos!$B$10:$F$10,J39+1)+INDEX(Pontos!$B$11:$F$11,K39+1)+INDEX(Pontos!$B$12:$F$12,L39+1)+INDEX(Pontos!$B$13:$F$13,M39+1)+INDEX(Pontos!$B$14:$F$14,N39+1)+IF(O39=1,4,0)+IF(P39=1,2,0)</f>
        <v>51</v>
      </c>
      <c r="R39" s="0" t="str">
        <f aca="false">IF(Q39&gt;=45,"A",IF(Q39&gt;=38,"B1",IF(Q39&gt;=29,"B2",IF(Q39&gt;=23,"C1",IF(Q39&gt;=17,"C2","D-E")))))</f>
        <v>A</v>
      </c>
    </row>
    <row r="40" customFormat="false" ht="15" hidden="false" customHeight="false" outlineLevel="0" collapsed="false">
      <c r="A40" s="0" t="n">
        <v>39</v>
      </c>
      <c r="B40" s="0" t="n">
        <v>2</v>
      </c>
      <c r="C40" s="0" t="n">
        <v>0</v>
      </c>
      <c r="D40" s="0" t="n">
        <v>1</v>
      </c>
      <c r="E40" s="0" t="n">
        <v>2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f aca="false">INDEX(Pontos!$B$2:$F$2,B40+1)+INDEX(Pontos!$B$3:$F$3,C40+1)+INDEX(Pontos!$B$4:$F$4,D40+1)+INDEX(Pontos!$B$5:$F$5,E40+1)+INDEX(Pontos!$B$6:$F$6,F40+1)+INDEX(Pontos!$B$7:$F$7,G40+1)+INDEX(Pontos!$B$8:$F$8,H40+1)+INDEX(Pontos!$B$9:$F$9,I40+1)+INDEX(Pontos!$B$10:$F$10,J40+1)+INDEX(Pontos!$B$11:$F$11,K40+1)+INDEX(Pontos!$B$12:$F$12,L40+1)+INDEX(Pontos!$B$13:$F$13,M40+1)+INDEX(Pontos!$B$14:$F$14,N40+1)+IF(O40=1,4,0)+IF(P40=1,2,0)</f>
        <v>32</v>
      </c>
      <c r="R40" s="0" t="str">
        <f aca="false">IF(Q40&gt;=45,"A",IF(Q40&gt;=38,"B1",IF(Q40&gt;=29,"B2",IF(Q40&gt;=23,"C1",IF(Q40&gt;=17,"C2","D-E")))))</f>
        <v>B2</v>
      </c>
    </row>
    <row r="41" customFormat="false" ht="15" hidden="false" customHeight="false" outlineLevel="0" collapsed="false">
      <c r="A41" s="0" t="n">
        <v>40</v>
      </c>
      <c r="B41" s="0" t="n">
        <v>2</v>
      </c>
      <c r="C41" s="0" t="n">
        <v>0</v>
      </c>
      <c r="D41" s="0" t="n">
        <v>1</v>
      </c>
      <c r="E41" s="0" t="n">
        <v>2</v>
      </c>
      <c r="F41" s="0" t="n">
        <v>1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f aca="false">INDEX(Pontos!$B$2:$F$2,B41+1)+INDEX(Pontos!$B$3:$F$3,C41+1)+INDEX(Pontos!$B$4:$F$4,D41+1)+INDEX(Pontos!$B$5:$F$5,E41+1)+INDEX(Pontos!$B$6:$F$6,F41+1)+INDEX(Pontos!$B$7:$F$7,G41+1)+INDEX(Pontos!$B$8:$F$8,H41+1)+INDEX(Pontos!$B$9:$F$9,I41+1)+INDEX(Pontos!$B$10:$F$10,J41+1)+INDEX(Pontos!$B$11:$F$11,K41+1)+INDEX(Pontos!$B$12:$F$12,L41+1)+INDEX(Pontos!$B$13:$F$13,M41+1)+INDEX(Pontos!$B$14:$F$14,N41+1)+IF(O41=1,4,0)+IF(P41=1,2,0)</f>
        <v>33</v>
      </c>
      <c r="R41" s="0" t="str">
        <f aca="false">IF(Q41&gt;=45,"A",IF(Q41&gt;=38,"B1",IF(Q41&gt;=29,"B2",IF(Q41&gt;=23,"C1",IF(Q41&gt;=17,"C2","D-E")))))</f>
        <v>B2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21</v>
      </c>
      <c r="B1" s="1" t="s">
        <v>36</v>
      </c>
      <c r="C1" s="1" t="s">
        <v>37</v>
      </c>
    </row>
    <row r="2" customFormat="false" ht="15" hidden="false" customHeight="false" outlineLevel="0" collapsed="false">
      <c r="A2" s="0" t="s">
        <v>24</v>
      </c>
      <c r="B2" s="0" t="n">
        <f aca="false">COUNTIF(Respostas!$R$2:$R$41,A2)</f>
        <v>5</v>
      </c>
      <c r="C2" s="3" t="n">
        <f aca="false">B2/SUM($B$2:$B$7)</f>
        <v>0.125</v>
      </c>
    </row>
    <row r="3" customFormat="false" ht="15" hidden="false" customHeight="false" outlineLevel="0" collapsed="false">
      <c r="A3" s="0" t="s">
        <v>25</v>
      </c>
      <c r="B3" s="0" t="n">
        <f aca="false">COUNTIF(Respostas!$R$2:$R$41,A3)</f>
        <v>8</v>
      </c>
      <c r="C3" s="3" t="n">
        <f aca="false">B3/SUM($B$2:$B$7)</f>
        <v>0.2</v>
      </c>
    </row>
    <row r="4" customFormat="false" ht="15" hidden="false" customHeight="false" outlineLevel="0" collapsed="false">
      <c r="A4" s="0" t="s">
        <v>26</v>
      </c>
      <c r="B4" s="0" t="n">
        <f aca="false">COUNTIF(Respostas!$R$2:$R$41,A4)</f>
        <v>18</v>
      </c>
      <c r="C4" s="3" t="n">
        <f aca="false">B4/SUM($B$2:$B$7)</f>
        <v>0.45</v>
      </c>
    </row>
    <row r="5" customFormat="false" ht="15" hidden="false" customHeight="false" outlineLevel="0" collapsed="false">
      <c r="A5" s="0" t="s">
        <v>27</v>
      </c>
      <c r="B5" s="0" t="n">
        <f aca="false">COUNTIF(Respostas!$R$2:$R$41,A5)</f>
        <v>6</v>
      </c>
      <c r="C5" s="3" t="n">
        <f aca="false">B5/SUM($B$2:$B$7)</f>
        <v>0.15</v>
      </c>
    </row>
    <row r="6" customFormat="false" ht="15" hidden="false" customHeight="false" outlineLevel="0" collapsed="false">
      <c r="A6" s="0" t="s">
        <v>28</v>
      </c>
      <c r="B6" s="0" t="n">
        <f aca="false">COUNTIF(Respostas!$R$2:$R$41,A6)</f>
        <v>2</v>
      </c>
      <c r="C6" s="3" t="n">
        <f aca="false">B6/SUM($B$2:$B$7)</f>
        <v>0.05</v>
      </c>
    </row>
    <row r="7" customFormat="false" ht="15" hidden="false" customHeight="false" outlineLevel="0" collapsed="false">
      <c r="A7" s="0" t="s">
        <v>29</v>
      </c>
      <c r="B7" s="0" t="n">
        <f aca="false">COUNTIF(Respostas!$R$2:$R$41,A7)</f>
        <v>1</v>
      </c>
      <c r="C7" s="3" t="n">
        <f aca="false">B7/SUM($B$2:$B$7)</f>
        <v>0.025</v>
      </c>
    </row>
    <row r="8" customFormat="false" ht="15" hidden="false" customHeight="false" outlineLevel="0" collapsed="false">
      <c r="A8" s="0" t="s">
        <v>38</v>
      </c>
      <c r="B8" s="0" t="n">
        <f aca="false">SUM(B2:B7)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2026-10-26T22:56:56Z</dcterms:created>
  <dc:creator>openpyxl</dc:creator>
  <dc:description/>
  <dc:language>en-US</dc:language>
  <cp:lastModifiedBy/>
  <dcterms:modified xsi:type="dcterms:W3CDTF">2026-10-26T22:56:56Z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